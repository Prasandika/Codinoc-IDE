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ExportToPDF.png" ContentType="image/.png"/>
  <Override PartName="/customUI/images/EditTask64.png" ContentType="application/octet-stream"/>
  <Override PartName="/customUI/images/AddGanttChart64.png" ContentType="application/octet-stream"/>
  <Override PartName="/customUI/images/ScrolltoEnd.png" ContentType="image/.png"/>
  <Override PartName="/customUI/images/YearlyView.png" ContentType="image/.png"/>
  <Override PartName="/customUI/images/DailyView.png" ContentType="image/.png"/>
  <Override PartName="/customUI/images/SetupTimeline.png" ContentType="image/.png"/>
  <Override PartName="/customUI/images/AddTask64.png" ContentType="application/octet-stream"/>
  <Override PartName="/customUI/images/HalfYearlyView.png" ContentType="image/.png"/>
  <Override PartName="/customUI/images/AddSection64.png" ContentType="application/octet-stream"/>
  <Override PartName="/customUI/images/ExportToXLSX.png" ContentType="image/.png"/>
  <Override PartName="/customUI/images/QuarterlyView.png" ContentType="image/.png"/>
  <Override PartName="/customUI/images/MonthlyView.png" ContentType="image/.png"/>
  <Override PartName="/customUI/images/HourlyView.png" ContentType="image/.png"/>
  <Override PartName="/customUI/images/AddMilestone.png" ContentType="image/.png"/>
  <Override PartName="/customUI/images/WeeklyView.png" ContentType="image/.png"/>
  <Override PartName="/customUI/images/deleteTask64.png" ContentType="application/octet-stream"/>
  <Override PartName="/customUI/images/ScrolltoStart.png" ContentType="image/.png"/>
  <Override PartName="/customUI/images/ScrolltoToday.png" ContentType="image/.png"/>
  <Override PartName="/customUI/images/moreviews.png" ContentType="image/.png"/>
</Types>
</file>

<file path=_rels/.rels><?xml version="1.0" encoding="UTF-8" standalone="yes"?>
<Relationships xmlns="http://schemas.openxmlformats.org/package/2006/relationships"><Relationship Id="R7f19f805bfb641b9"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B6124F1A-AFFB-F854-7757-9A1D4C6FC43C}"/>
  <workbookPr codeName="ThisWorkbook" autoCompressPictures="0"/>
  <mc:AlternateContent xmlns:mc="http://schemas.openxmlformats.org/markup-compatibility/2006">
    <mc:Choice Requires="x15">
      <x15ac:absPath xmlns:x15ac="http://schemas.microsoft.com/office/spreadsheetml/2010/11/ac" url="C:\Users\Lasan Nishshanka\Downloads\"/>
    </mc:Choice>
  </mc:AlternateContent>
  <bookViews>
    <workbookView xWindow="0" yWindow="0" windowWidth="23040" windowHeight="9324" tabRatio="913" firstSheet="4" activeTab="4"/>
  </bookViews>
  <sheets>
    <sheet name="Dashboard Data" sheetId="75" state="veryHidden" r:id="rId1"/>
    <sheet name="GanttSettingsTemplate" sheetId="50" state="veryHidden" r:id="rId2"/>
    <sheet name="GanttDashboardTemplate" sheetId="3" state="veryHidden" r:id="rId3"/>
    <sheet name="PivotSheet" sheetId="89" state="veryHidden" r:id="rId4"/>
    <sheet name="Project Plan" sheetId="92" r:id="rId5"/>
    <sheet name="Help" sheetId="7" r:id="rId6"/>
    <sheet name="GS1" sheetId="91" state="veryHidden" r:id="rId7"/>
    <sheet name="RS1" sheetId="90" state="veryHidden" r:id="rId8"/>
  </sheets>
  <definedNames>
    <definedName name="NativeTimeline_EED">#N/A</definedName>
    <definedName name="_xlnm.Print_Area" localSheetId="2">GanttDashboardTemplate!$B$1:$G$44</definedName>
    <definedName name="_xlnm.Print_Titles" localSheetId="2">GanttDashboardTemplate!$2:$2</definedName>
    <definedName name="Slicer_Priority">#N/A</definedName>
    <definedName name="Slicer_Resource">#N/A</definedName>
    <definedName name="Slicer_Status">#N/A</definedName>
    <definedName name="VGD">#REF!</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BG2" i="75" l="1"/>
  <c r="BG3" i="75"/>
  <c r="BG4" i="75"/>
  <c r="BG5" i="75"/>
  <c r="E5" i="3" l="1"/>
  <c r="AT2" i="3"/>
  <c r="AS2" i="3"/>
  <c r="AZ2" i="3" l="1"/>
  <c r="BA2" i="3" s="1"/>
  <c r="D18" i="3" s="1"/>
  <c r="AX2" i="3"/>
  <c r="AY2" i="3" s="1"/>
  <c r="AV2" i="3" l="1"/>
  <c r="E4" i="3" s="1"/>
  <c r="E13" i="3"/>
  <c r="E12" i="3"/>
  <c r="E11" i="3"/>
  <c r="E10" i="3"/>
  <c r="E9" i="3"/>
  <c r="E7" i="3"/>
  <c r="E6" i="3"/>
</calcChain>
</file>

<file path=xl/sharedStrings.xml><?xml version="1.0" encoding="utf-8"?>
<sst xmlns="http://schemas.openxmlformats.org/spreadsheetml/2006/main" count="770" uniqueCount="330">
  <si>
    <t>CLICK HERE FOR DOCUMENTATION</t>
  </si>
  <si>
    <t>QUICK GUIDE</t>
  </si>
  <si>
    <t xml:space="preserve"> </t>
  </si>
  <si>
    <t>Total Tasks</t>
  </si>
  <si>
    <t>BaselineBudget</t>
  </si>
  <si>
    <t>End Date</t>
  </si>
  <si>
    <t>EstimatedBudget</t>
  </si>
  <si>
    <t>Start Date</t>
  </si>
  <si>
    <t>$</t>
  </si>
  <si>
    <t>Lead</t>
  </si>
  <si>
    <t>Project Status</t>
  </si>
  <si>
    <t>PROJECT SUMMARY</t>
  </si>
  <si>
    <t>Notes</t>
  </si>
  <si>
    <t>ACS</t>
  </si>
  <si>
    <t>ECS</t>
  </si>
  <si>
    <t>BCS</t>
  </si>
  <si>
    <t>AD</t>
  </si>
  <si>
    <t>PercentageCompleted</t>
  </si>
  <si>
    <t>ED</t>
  </si>
  <si>
    <t>AED</t>
  </si>
  <si>
    <t>EED</t>
  </si>
  <si>
    <t>ASD</t>
  </si>
  <si>
    <t>ESD</t>
  </si>
  <si>
    <t>BD</t>
  </si>
  <si>
    <t>BED</t>
  </si>
  <si>
    <t>BSD</t>
  </si>
  <si>
    <t>Task</t>
  </si>
  <si>
    <t>WBS</t>
  </si>
  <si>
    <t>DDD DD\-MMM\-YY</t>
  </si>
  <si>
    <t>D</t>
  </si>
  <si>
    <t>BarTextIsUnderline</t>
  </si>
  <si>
    <t>BarTextIsItalic</t>
  </si>
  <si>
    <t>BarTextIsBold</t>
  </si>
  <si>
    <t>BarTextDataColumnName</t>
  </si>
  <si>
    <t>BarTextFontSize</t>
  </si>
  <si>
    <t>BarTextCharacters</t>
  </si>
  <si>
    <t>EnableBarText</t>
  </si>
  <si>
    <t>vidud</t>
  </si>
  <si>
    <t>chirun</t>
  </si>
  <si>
    <t>peru</t>
  </si>
  <si>
    <t>ShowDependencyConnector</t>
  </si>
  <si>
    <t>ShowTodayLines</t>
  </si>
  <si>
    <t>DateFormat</t>
  </si>
  <si>
    <t>ShowGrouping</t>
  </si>
  <si>
    <t>LiType</t>
  </si>
  <si>
    <t>EC</t>
  </si>
  <si>
    <t>LV</t>
  </si>
  <si>
    <t>WeekStartDay</t>
  </si>
  <si>
    <t>ShowLate</t>
  </si>
  <si>
    <t>ShowPlanned</t>
  </si>
  <si>
    <t>ShowInProgress</t>
  </si>
  <si>
    <t>ShowCompleted</t>
  </si>
  <si>
    <t>CurrentView</t>
  </si>
  <si>
    <t>CurrencySymbol</t>
  </si>
  <si>
    <t>TotalACS</t>
  </si>
  <si>
    <t>ActualCosts</t>
  </si>
  <si>
    <t>Completed</t>
  </si>
  <si>
    <t>In-Progress</t>
  </si>
  <si>
    <t>Planned</t>
  </si>
  <si>
    <t>Overdue</t>
  </si>
  <si>
    <t>liky</t>
  </si>
  <si>
    <t>duli</t>
  </si>
  <si>
    <t>WeekNumType</t>
  </si>
  <si>
    <t>ISO</t>
  </si>
  <si>
    <t>ShowBaselineBar</t>
  </si>
  <si>
    <t>ShowActualBar</t>
  </si>
  <si>
    <t>PercentageEntryMode</t>
  </si>
  <si>
    <t>PercentageCalculationType</t>
  </si>
  <si>
    <t>manual</t>
  </si>
  <si>
    <t>simple</t>
  </si>
  <si>
    <t>Click here for help to Enable Macros</t>
  </si>
  <si>
    <t>ShowOverdueBar</t>
  </si>
  <si>
    <t>FiSa</t>
  </si>
  <si>
    <t>asdflkjl</t>
  </si>
  <si>
    <t>;J=,F\)-'+%tyzivm":YHs</t>
  </si>
  <si>
    <t>Dark</t>
  </si>
  <si>
    <t>Classic</t>
  </si>
  <si>
    <t>Blue</t>
  </si>
  <si>
    <t>Excel</t>
  </si>
  <si>
    <t>Custom</t>
  </si>
  <si>
    <t>Enable Macros</t>
  </si>
  <si>
    <t>ThemeName</t>
  </si>
  <si>
    <t>SelectedTheme</t>
  </si>
  <si>
    <t>EBC</t>
  </si>
  <si>
    <t>EMC</t>
  </si>
  <si>
    <t>BBC</t>
  </si>
  <si>
    <t>ABC</t>
  </si>
  <si>
    <t>OBC</t>
  </si>
  <si>
    <t>TLC</t>
  </si>
  <si>
    <t>TBC</t>
  </si>
  <si>
    <t>PBC</t>
  </si>
  <si>
    <t>HBC</t>
  </si>
  <si>
    <t>HC</t>
  </si>
  <si>
    <t>WC</t>
  </si>
  <si>
    <t>CR1C</t>
  </si>
  <si>
    <t>CR2C</t>
  </si>
  <si>
    <t>CR3C</t>
  </si>
  <si>
    <t>TGB</t>
  </si>
  <si>
    <t>DLC</t>
  </si>
  <si>
    <t>HCOL</t>
  </si>
  <si>
    <t>DCOL</t>
  </si>
  <si>
    <t>WCOL</t>
  </si>
  <si>
    <t>MCOL</t>
  </si>
  <si>
    <t>QCOL</t>
  </si>
  <si>
    <t>HYCOL</t>
  </si>
  <si>
    <t>YCOL</t>
  </si>
  <si>
    <t>HWID</t>
  </si>
  <si>
    <t>DWID</t>
  </si>
  <si>
    <t>WWID</t>
  </si>
  <si>
    <t>MWID</t>
  </si>
  <si>
    <t>QWID</t>
  </si>
  <si>
    <t>YWID</t>
  </si>
  <si>
    <t>HYWID</t>
  </si>
  <si>
    <t>ds082</t>
  </si>
  <si>
    <t>CR12C</t>
  </si>
  <si>
    <t>RCCal</t>
  </si>
  <si>
    <t>GBC</t>
  </si>
  <si>
    <t>PTRC</t>
  </si>
  <si>
    <t>TSD</t>
  </si>
  <si>
    <t>TED</t>
  </si>
  <si>
    <t>ShowTimelineGrid</t>
  </si>
  <si>
    <t>ShowHolidays</t>
  </si>
  <si>
    <t>ShowWeekends</t>
  </si>
  <si>
    <t>ShowHolidaysPR</t>
  </si>
  <si>
    <t>ShowWeekendsPR</t>
  </si>
  <si>
    <t>HCPR</t>
  </si>
  <si>
    <t>WCPR</t>
  </si>
  <si>
    <t>9</t>
  </si>
  <si>
    <t>RefreshTimeline</t>
  </si>
  <si>
    <t>resourcesettings</t>
  </si>
  <si>
    <t>CalcAED</t>
  </si>
  <si>
    <t>CalcBED</t>
  </si>
  <si>
    <t>GCTYPE</t>
  </si>
  <si>
    <t>GRT</t>
  </si>
  <si>
    <t>TimelineVisible</t>
  </si>
  <si>
    <t>ShowEstBaseBar</t>
  </si>
  <si>
    <t>EBaseC</t>
  </si>
  <si>
    <t>Priority</t>
  </si>
  <si>
    <t>Status</t>
  </si>
  <si>
    <t>TPCH</t>
  </si>
  <si>
    <t>TPCN</t>
  </si>
  <si>
    <t>TPCL</t>
  </si>
  <si>
    <t>TSCC</t>
  </si>
  <si>
    <t>TSCI</t>
  </si>
  <si>
    <t>TSCP</t>
  </si>
  <si>
    <t>ProjectName</t>
  </si>
  <si>
    <t>SSN</t>
  </si>
  <si>
    <t>PTDS</t>
  </si>
  <si>
    <t>ShowPercBar</t>
  </si>
  <si>
    <t>ShowPercDataBar</t>
  </si>
  <si>
    <t>PDC</t>
  </si>
  <si>
    <t>PRC</t>
  </si>
  <si>
    <t>ceDate</t>
  </si>
  <si>
    <t>csDate</t>
  </si>
  <si>
    <t>ceYear</t>
  </si>
  <si>
    <t>csYear</t>
  </si>
  <si>
    <t xml:space="preserve">For Windows Excel versions 2007 - 2019 + All versions of Microsoft 365 and MAC Excel Version 2016 - 2019  + All versions of Microsoft 365 </t>
  </si>
  <si>
    <r>
      <rPr>
        <sz val="28"/>
        <color rgb="FFFF0000"/>
        <rFont val="Calibri"/>
        <family val="2"/>
        <scheme val="minor"/>
      </rPr>
      <t>Gantt Excel</t>
    </r>
    <r>
      <rPr>
        <sz val="28"/>
        <color theme="1"/>
        <rFont val="Calibri"/>
        <family val="2"/>
        <scheme val="minor"/>
      </rPr>
      <t xml:space="preserve"> - </t>
    </r>
    <r>
      <rPr>
        <sz val="28"/>
        <color theme="9" tint="-0.249977111117893"/>
        <rFont val="Calibri"/>
        <family val="2"/>
        <scheme val="minor"/>
      </rPr>
      <t>Project Management in Excel</t>
    </r>
  </si>
  <si>
    <t>Use the Gantt Menu tab in the Excel Ribbon to Create, View and Edit Gantt Charts</t>
  </si>
  <si>
    <t>SavedDate</t>
  </si>
  <si>
    <t>TIL</t>
  </si>
  <si>
    <t>SS</t>
  </si>
  <si>
    <t>TColor</t>
  </si>
  <si>
    <t>TPColor</t>
  </si>
  <si>
    <t>BLColor</t>
  </si>
  <si>
    <t>ACColor</t>
  </si>
  <si>
    <t>LC</t>
  </si>
  <si>
    <t>T</t>
  </si>
  <si>
    <t>NORMAL</t>
  </si>
  <si>
    <t>u</t>
  </si>
  <si>
    <t>ProjectID</t>
  </si>
  <si>
    <t>dType</t>
  </si>
  <si>
    <t>Custom 1</t>
  </si>
  <si>
    <t>Custom 2</t>
  </si>
  <si>
    <t>Custom 3</t>
  </si>
  <si>
    <t>Custom 4</t>
  </si>
  <si>
    <t>Custom 5</t>
  </si>
  <si>
    <t>Custom 6</t>
  </si>
  <si>
    <t>Custom 7</t>
  </si>
  <si>
    <t>Custom 8</t>
  </si>
  <si>
    <t>Custom 9</t>
  </si>
  <si>
    <t>Custom 10</t>
  </si>
  <si>
    <t>Custom 11</t>
  </si>
  <si>
    <t>Custom 12</t>
  </si>
  <si>
    <t>Custom 13</t>
  </si>
  <si>
    <t>Custom 14</t>
  </si>
  <si>
    <t>Custom 15</t>
  </si>
  <si>
    <t>Custom 16</t>
  </si>
  <si>
    <t>Custom 17</t>
  </si>
  <si>
    <t>Custom 18</t>
  </si>
  <si>
    <t>Custom 19</t>
  </si>
  <si>
    <t>Custom 20</t>
  </si>
  <si>
    <t>Baseline Cost</t>
  </si>
  <si>
    <t>Actual Cost</t>
  </si>
  <si>
    <t>S</t>
  </si>
  <si>
    <t>Project Name - Click to Edit</t>
  </si>
  <si>
    <t>Project ID</t>
  </si>
  <si>
    <t>Project Worksheet</t>
  </si>
  <si>
    <t>Project Name</t>
  </si>
  <si>
    <t>Project Completion</t>
  </si>
  <si>
    <t>ESTIMATED</t>
  </si>
  <si>
    <t>BASELINE</t>
  </si>
  <si>
    <t>ACTUAL</t>
  </si>
  <si>
    <t>Currency</t>
  </si>
  <si>
    <t>Earliest Start Date</t>
  </si>
  <si>
    <t>Earliest End Date</t>
  </si>
  <si>
    <t>Completed Tasks</t>
  </si>
  <si>
    <t>In-Progress Tasks</t>
  </si>
  <si>
    <t>Planned Tasks</t>
  </si>
  <si>
    <t>Overdue Tasks</t>
  </si>
  <si>
    <t>Selected Project</t>
  </si>
  <si>
    <t>All Projects</t>
  </si>
  <si>
    <t>Project Plan</t>
  </si>
  <si>
    <t>Click to edit</t>
  </si>
  <si>
    <t>% Comp</t>
  </si>
  <si>
    <t>ProjectFilter</t>
  </si>
  <si>
    <t>Row Labels</t>
  </si>
  <si>
    <t>Count of tID</t>
  </si>
  <si>
    <t>Values</t>
  </si>
  <si>
    <t>(Multiple Items)</t>
  </si>
  <si>
    <t>Estimated Cost</t>
  </si>
  <si>
    <t>Remaining</t>
  </si>
  <si>
    <t>% Over Budget</t>
  </si>
  <si>
    <t>Work</t>
  </si>
  <si>
    <t>ESTIMATED BUDGET</t>
  </si>
  <si>
    <t>Resource</t>
  </si>
  <si>
    <t>TID</t>
  </si>
  <si>
    <t>Dependency</t>
  </si>
  <si>
    <t>Dependents</t>
  </si>
  <si>
    <t>StartConstrain</t>
  </si>
  <si>
    <t>EndConstrain</t>
  </si>
  <si>
    <t>TaskIcon</t>
  </si>
  <si>
    <t>ResourceCost</t>
  </si>
  <si>
    <t>Done</t>
  </si>
  <si>
    <t>GEType</t>
  </si>
  <si>
    <t>(blank)</t>
  </si>
  <si>
    <t>LOW</t>
  </si>
  <si>
    <t>HIGH</t>
  </si>
  <si>
    <t>Est Budget</t>
  </si>
  <si>
    <t>Act Costs</t>
  </si>
  <si>
    <t>20-Aug</t>
  </si>
  <si>
    <t>(All)</t>
  </si>
  <si>
    <t>5-Aug</t>
  </si>
  <si>
    <t>Type here or double click to edit in form</t>
  </si>
  <si>
    <t>InProgress</t>
  </si>
  <si>
    <t>T42VP</t>
  </si>
  <si>
    <t>TR8#{5QM</t>
  </si>
  <si>
    <t>N4fL3sgyYf-Gm2xds9E-6dG7b72mevs</t>
  </si>
  <si>
    <t>Cost</t>
  </si>
  <si>
    <t>Use Org Holidays</t>
  </si>
  <si>
    <t>Department</t>
  </si>
  <si>
    <t>Workhours Start</t>
  </si>
  <si>
    <t>Workhours End</t>
  </si>
  <si>
    <t>WorkdaySun</t>
  </si>
  <si>
    <t>WorkdayMon</t>
  </si>
  <si>
    <t>WorkdayTue</t>
  </si>
  <si>
    <t>WorkdayWed</t>
  </si>
  <si>
    <t>WorkdayThu</t>
  </si>
  <si>
    <t>WorkdayFri</t>
  </si>
  <si>
    <t>WorkdaySat</t>
  </si>
  <si>
    <t>Holidays</t>
  </si>
  <si>
    <t>Organization</t>
  </si>
  <si>
    <t>DO NOT MODIFY THIS SHEET OR INSERT COLUMNS</t>
  </si>
  <si>
    <t>System</t>
  </si>
  <si>
    <t>Baseline Start</t>
  </si>
  <si>
    <t>Baseline End</t>
  </si>
  <si>
    <t>Baseline Duration</t>
  </si>
  <si>
    <t>Start</t>
  </si>
  <si>
    <t>Finish</t>
  </si>
  <si>
    <t>Duration</t>
  </si>
  <si>
    <t>% Complete</t>
  </si>
  <si>
    <t>Actual Start</t>
  </si>
  <si>
    <t>Actual End</t>
  </si>
  <si>
    <t>Actual Duration</t>
  </si>
  <si>
    <t>Est. Cost</t>
  </si>
  <si>
    <t>Bar Color</t>
  </si>
  <si>
    <t>% Color</t>
  </si>
  <si>
    <t>Baseline Color</t>
  </si>
  <si>
    <t>Actual Color</t>
  </si>
  <si>
    <t>TimelineStart</t>
  </si>
  <si>
    <t>TimelineEnd</t>
  </si>
  <si>
    <t>RS1</t>
  </si>
  <si>
    <t>M</t>
  </si>
  <si>
    <t>W</t>
  </si>
  <si>
    <t>F</t>
  </si>
  <si>
    <t>Type here to add a new task</t>
  </si>
  <si>
    <t>Piyumi Prasandika</t>
  </si>
  <si>
    <t>107768139713862382776892699594864013771059744140</t>
  </si>
  <si>
    <t>Quick Start Guide</t>
  </si>
  <si>
    <t>W48</t>
  </si>
  <si>
    <t>W49</t>
  </si>
  <si>
    <t>W50</t>
  </si>
  <si>
    <t>W51</t>
  </si>
  <si>
    <t>W52</t>
  </si>
  <si>
    <t>Research Current IDE's</t>
  </si>
  <si>
    <t>1</t>
  </si>
  <si>
    <t>2</t>
  </si>
  <si>
    <t>Requirements Analysis</t>
  </si>
  <si>
    <t>3</t>
  </si>
  <si>
    <t>Tools Analysis</t>
  </si>
  <si>
    <t>4</t>
  </si>
  <si>
    <t>UX(Uaer Experience)Analysis</t>
  </si>
  <si>
    <t>5</t>
  </si>
  <si>
    <t>Database Design</t>
  </si>
  <si>
    <t>6</t>
  </si>
  <si>
    <t>UI Design</t>
  </si>
  <si>
    <t>7</t>
  </si>
  <si>
    <t>Self Study Period</t>
  </si>
  <si>
    <t>In Progress</t>
  </si>
  <si>
    <t>8</t>
  </si>
  <si>
    <t>UI Development</t>
  </si>
  <si>
    <t>Web App Development</t>
  </si>
  <si>
    <t>10</t>
  </si>
  <si>
    <t>Desktop App Development</t>
  </si>
  <si>
    <t>11</t>
  </si>
  <si>
    <t>Alpha Testing</t>
  </si>
  <si>
    <t>12</t>
  </si>
  <si>
    <t>Beta Testing</t>
  </si>
  <si>
    <t>13</t>
  </si>
  <si>
    <t>Correct Issues</t>
  </si>
  <si>
    <t>14</t>
  </si>
  <si>
    <t>Project Implementation</t>
  </si>
  <si>
    <t>15</t>
  </si>
  <si>
    <t>Complete Final Report</t>
  </si>
  <si>
    <t>Cordinoc IDE Creation</t>
  </si>
  <si>
    <t>Project Lead: NLM NISHSHANKA</t>
  </si>
  <si>
    <r>
      <t>Project Budget</t>
    </r>
    <r>
      <rPr>
        <sz val="10"/>
        <color rgb="FF808080"/>
        <rFont val="Calibri"/>
        <family val="2"/>
        <scheme val="minor"/>
      </rPr>
      <t xml:space="preserve">: Estimated: $12.00 | Baseline: $0.00 | </t>
    </r>
    <r>
      <rPr>
        <b/>
        <sz val="10"/>
        <color rgb="FF808080"/>
        <rFont val="Calibri"/>
        <family val="2"/>
        <scheme val="minor"/>
      </rPr>
      <t>Task Costs</t>
    </r>
    <r>
      <rPr>
        <sz val="10"/>
        <color rgb="FF808080"/>
        <rFont val="Calibri"/>
        <family val="2"/>
        <scheme val="minor"/>
      </rPr>
      <t>: Estimated: $0.00 | Baseline: $0.00 | Actual: $0.00</t>
    </r>
  </si>
  <si>
    <t>automatic</t>
  </si>
  <si>
    <t>2021</t>
  </si>
  <si>
    <t>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</si>
</sst>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quot;$&quot;\ #,##0"/>
    <numFmt numFmtId="165" formatCode="ddd\ dd\-mmm\-yy"/>
    <numFmt numFmtId="166" formatCode="[$$-409]#,##0.00"/>
  </numFmts>
  <fonts count="44" x14ac:knownFonts="1">
    <font>
      <sz val="11"/>
      <color theme="1"/>
      <name val="Calibri"/>
      <family val="2"/>
      <scheme val="minor"/>
    </font>
    <font>
      <b/>
      <sz val="15"/>
      <color theme="3"/>
      <name val="Calibri"/>
      <family val="2"/>
      <scheme val="minor"/>
    </font>
    <font>
      <u/>
      <sz val="11"/>
      <color theme="10"/>
      <name val="Calibri"/>
      <family val="2"/>
      <scheme val="minor"/>
    </font>
    <font>
      <u/>
      <sz val="10"/>
      <color theme="10"/>
      <name val="Calibri"/>
      <family val="2"/>
      <scheme val="minor"/>
    </font>
    <font>
      <b/>
      <sz val="24"/>
      <color rgb="FF00B0F0"/>
      <name val="Calibri"/>
      <family val="2"/>
      <scheme val="minor"/>
    </font>
    <font>
      <sz val="8"/>
      <color theme="0"/>
      <name val="Calibri"/>
      <family val="2"/>
      <scheme val="minor"/>
    </font>
    <font>
      <sz val="10"/>
      <color theme="0"/>
      <name val="Calibri"/>
      <family val="2"/>
      <scheme val="minor"/>
    </font>
    <font>
      <sz val="10"/>
      <color theme="1"/>
      <name val="Calibri"/>
      <family val="2"/>
      <scheme val="minor"/>
    </font>
    <font>
      <sz val="10"/>
      <color rgb="FFFF0000"/>
      <name val="Calibri"/>
      <family val="2"/>
      <scheme val="minor"/>
    </font>
    <font>
      <sz val="10"/>
      <name val="Calibri"/>
      <family val="2"/>
      <scheme val="minor"/>
    </font>
    <font>
      <b/>
      <sz val="7"/>
      <color rgb="FF00B0F0"/>
      <name val="Calibri"/>
      <family val="2"/>
      <scheme val="minor"/>
    </font>
    <font>
      <b/>
      <sz val="10"/>
      <color theme="1"/>
      <name val="Calibri"/>
      <family val="2"/>
      <scheme val="minor"/>
    </font>
    <font>
      <b/>
      <sz val="11"/>
      <color rgb="FF00B0F0"/>
      <name val="Calibri"/>
      <family val="2"/>
      <scheme val="minor"/>
    </font>
    <font>
      <u/>
      <sz val="11"/>
      <color theme="11"/>
      <name val="Calibri"/>
      <family val="2"/>
      <scheme val="minor"/>
    </font>
    <font>
      <i/>
      <sz val="11"/>
      <color theme="1"/>
      <name val="Calibri"/>
      <family val="2"/>
      <scheme val="minor"/>
    </font>
    <font>
      <b/>
      <sz val="10"/>
      <color theme="4" tint="-0.499984740745262"/>
      <name val="Calibri"/>
      <family val="2"/>
      <scheme val="minor"/>
    </font>
    <font>
      <b/>
      <sz val="14"/>
      <color rgb="FFFF0000"/>
      <name val="Calibri"/>
      <family val="2"/>
      <scheme val="minor"/>
    </font>
    <font>
      <sz val="9"/>
      <color theme="1"/>
      <name val="Calibri"/>
      <family val="2"/>
      <scheme val="minor"/>
    </font>
    <font>
      <sz val="11"/>
      <color rgb="FFFF0000"/>
      <name val="Calibri"/>
      <family val="2"/>
      <scheme val="minor"/>
    </font>
    <font>
      <sz val="11"/>
      <color rgb="FF000000"/>
      <name val="Calibri"/>
      <family val="2"/>
    </font>
    <font>
      <sz val="26"/>
      <color rgb="FF00B0F0"/>
      <name val="Calibri"/>
      <family val="2"/>
      <scheme val="minor"/>
    </font>
    <font>
      <sz val="28"/>
      <color theme="1"/>
      <name val="Calibri"/>
      <family val="2"/>
      <scheme val="minor"/>
    </font>
    <font>
      <sz val="28"/>
      <color rgb="FFFF0000"/>
      <name val="Calibri"/>
      <family val="2"/>
      <scheme val="minor"/>
    </font>
    <font>
      <sz val="28"/>
      <color theme="9" tint="-0.249977111117893"/>
      <name val="Calibri"/>
      <family val="2"/>
      <scheme val="minor"/>
    </font>
    <font>
      <sz val="8"/>
      <name val="Calibri"/>
      <family val="2"/>
      <scheme val="minor"/>
    </font>
    <font>
      <b/>
      <sz val="12"/>
      <color rgb="FF00B0F0"/>
      <name val="Calibri"/>
      <family val="2"/>
      <scheme val="minor"/>
    </font>
    <font>
      <sz val="11"/>
      <color theme="1"/>
      <name val="Calibri"/>
      <family val="2"/>
      <scheme val="minor"/>
    </font>
    <font>
      <sz val="11"/>
      <color theme="8"/>
      <name val="Calibri"/>
      <family val="2"/>
      <scheme val="minor"/>
    </font>
    <font>
      <sz val="11"/>
      <color theme="0"/>
      <name val="Calibri"/>
      <family val="2"/>
      <scheme val="minor"/>
    </font>
    <font>
      <sz val="9"/>
      <color theme="1"/>
      <name val="Verdana"/>
      <family val="2"/>
    </font>
    <font>
      <sz val="10"/>
      <name val="Arial"/>
      <family val="2"/>
    </font>
    <font>
      <sz val="11"/>
      <color rgb="FF000000"/>
      <name val="Calibri"/>
      <family val="2"/>
      <scheme val="minor"/>
    </font>
    <font>
      <sz val="10"/>
      <color rgb="FF000000"/>
      <name val="Calibri"/>
      <family val="2"/>
      <scheme val="minor"/>
    </font>
    <font>
      <b/>
      <sz val="9"/>
      <color rgb="FF000000"/>
      <name val="Calibri"/>
      <family val="2"/>
      <scheme val="minor"/>
    </font>
    <font>
      <sz val="10"/>
      <color rgb="FF808080"/>
      <name val="Calibri"/>
      <family val="2"/>
      <scheme val="minor"/>
    </font>
    <font>
      <sz val="11"/>
      <color rgb="FF4472C4"/>
      <name val="Calibri"/>
      <family val="2"/>
      <scheme val="minor"/>
    </font>
    <font>
      <sz val="8"/>
      <color rgb="FF000000"/>
      <name val="Calibri"/>
      <family val="2"/>
      <scheme val="minor"/>
    </font>
    <font>
      <sz val="8"/>
      <color rgb="FF000000"/>
      <name val="Arial"/>
      <family val="2"/>
    </font>
    <font>
      <b/>
      <sz val="10"/>
      <color rgb="FFFFFFFF"/>
      <name val="Calibri"/>
      <family val="2"/>
      <scheme val="minor"/>
    </font>
    <font>
      <i/>
      <sz val="10"/>
      <color rgb="FF000000"/>
      <name val="Calibri"/>
      <family val="2"/>
      <scheme val="minor"/>
    </font>
    <font>
      <b/>
      <sz val="16"/>
      <color rgb="FFFFFFFF"/>
      <name val="Calibri"/>
      <family val="2"/>
      <scheme val="minor"/>
    </font>
    <font>
      <sz val="10"/>
      <color rgb="FFA8E7FE"/>
      <name val="Wingdings 3"/>
      <family val="1"/>
      <charset val="2"/>
    </font>
    <font>
      <b/>
      <sz val="10"/>
      <color rgb="FF808080"/>
      <name val="Calibri"/>
      <family val="2"/>
      <scheme val="minor"/>
    </font>
    <font>
      <sz val="10"/>
      <color rgb="FF6DD9FF"/>
      <name val="Wingdings 3"/>
      <family val="1"/>
      <charset val="2"/>
    </font>
  </fonts>
  <fills count="51">
    <fill>
      <patternFill patternType="none"/>
    </fill>
    <fill>
      <patternFill patternType="gray125"/>
    </fill>
    <fill>
      <patternFill patternType="solid">
        <fgColor rgb="FF00B0F0"/>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59999389629810485"/>
        <bgColor indexed="64"/>
      </patternFill>
    </fill>
    <fill>
      <patternFill patternType="solid">
        <fgColor rgb="FFD0F789"/>
        <bgColor indexed="64"/>
      </patternFill>
    </fill>
    <fill>
      <patternFill patternType="solid">
        <fgColor rgb="FFA6F020"/>
        <bgColor indexed="64"/>
      </patternFill>
    </fill>
    <fill>
      <patternFill patternType="solid">
        <fgColor theme="2" tint="-0.249977111117893"/>
        <bgColor indexed="64"/>
      </patternFill>
    </fill>
    <fill>
      <patternFill patternType="solid">
        <fgColor rgb="FFFFE699"/>
        <bgColor indexed="64"/>
      </patternFill>
    </fill>
    <fill>
      <patternFill patternType="solid">
        <fgColor theme="1"/>
        <bgColor indexed="64"/>
      </patternFill>
    </fill>
    <fill>
      <patternFill patternType="solid">
        <fgColor rgb="FFFF00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CCFFFF"/>
        <bgColor indexed="64"/>
      </patternFill>
    </fill>
    <fill>
      <patternFill patternType="solid">
        <fgColor theme="7"/>
        <bgColor indexed="64"/>
      </patternFill>
    </fill>
    <fill>
      <patternFill patternType="solid">
        <fgColor theme="9"/>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1" tint="0.249977111117893"/>
        <bgColor indexed="64"/>
      </patternFill>
    </fill>
    <fill>
      <patternFill patternType="solid">
        <fgColor theme="1" tint="0.14999847407452621"/>
        <bgColor indexed="64"/>
      </patternFill>
    </fill>
    <fill>
      <patternFill patternType="solid">
        <fgColor theme="0" tint="-0.499984740745262"/>
        <bgColor indexed="64"/>
      </patternFill>
    </fill>
    <fill>
      <patternFill patternType="solid">
        <fgColor theme="9" tint="0.79998168889431442"/>
        <bgColor indexed="64"/>
      </patternFill>
    </fill>
    <fill>
      <patternFill patternType="solid">
        <fgColor rgb="FFE5FBBD"/>
        <bgColor indexed="64"/>
      </patternFill>
    </fill>
    <fill>
      <patternFill patternType="solid">
        <fgColor rgb="FF6DD9FF"/>
        <bgColor indexed="64"/>
      </patternFill>
    </fill>
    <fill>
      <patternFill patternType="solid">
        <fgColor rgb="FFA8E7FE"/>
        <bgColor indexed="64"/>
      </patternFill>
    </fill>
    <fill>
      <patternFill patternType="solid">
        <fgColor rgb="FFFFFFFF"/>
        <bgColor indexed="64"/>
      </patternFill>
    </fill>
    <fill>
      <patternFill patternType="solid">
        <fgColor rgb="FF000000"/>
        <bgColor indexed="64"/>
      </patternFill>
    </fill>
    <fill>
      <patternFill patternType="solid">
        <fgColor rgb="FF262626"/>
        <bgColor indexed="64"/>
      </patternFill>
    </fill>
    <fill>
      <patternFill patternType="solid">
        <fgColor rgb="FFCCECFF"/>
        <bgColor indexed="64"/>
      </patternFill>
    </fill>
    <fill>
      <patternFill patternType="solid">
        <fgColor rgb="FFC1EFFF"/>
        <bgColor indexed="64"/>
      </patternFill>
    </fill>
    <fill>
      <patternFill patternType="solid">
        <fgColor rgb="FFF0F9FE"/>
        <bgColor indexed="64"/>
      </patternFill>
    </fill>
    <fill>
      <patternFill patternType="solid">
        <fgColor rgb="FFF0FFDD"/>
        <bgColor indexed="64"/>
      </patternFill>
    </fill>
    <fill>
      <patternFill patternType="solid">
        <fgColor rgb="FFDCF9A9"/>
        <bgColor indexed="64"/>
      </patternFill>
    </fill>
    <fill>
      <patternFill patternType="solid">
        <fgColor rgb="FF33CCFF"/>
        <bgColor indexed="64"/>
      </patternFill>
    </fill>
    <fill>
      <patternFill patternType="solid">
        <fgColor rgb="FF3399FF"/>
        <bgColor indexed="64"/>
      </patternFill>
    </fill>
    <fill>
      <patternFill patternType="solid">
        <fgColor rgb="FFFFCC00"/>
        <bgColor indexed="64"/>
      </patternFill>
    </fill>
    <fill>
      <patternFill patternType="solid">
        <fgColor rgb="FFFFCC66"/>
        <bgColor indexed="64"/>
      </patternFill>
    </fill>
    <fill>
      <patternFill patternType="solid">
        <fgColor rgb="FFEAEAEA"/>
        <bgColor indexed="64"/>
      </patternFill>
    </fill>
    <fill>
      <patternFill patternType="solid">
        <fgColor rgb="FF99CCFF"/>
        <bgColor indexed="64"/>
      </patternFill>
    </fill>
    <fill>
      <patternFill patternType="solid">
        <fgColor rgb="FFFF9900"/>
        <bgColor indexed="64"/>
      </patternFill>
    </fill>
    <fill>
      <patternFill patternType="solid">
        <fgColor rgb="FF00CC00"/>
        <bgColor indexed="64"/>
      </patternFill>
    </fill>
    <fill>
      <patternFill patternType="solid">
        <fgColor rgb="FF00DA00"/>
        <bgColor indexed="64"/>
      </patternFill>
    </fill>
    <fill>
      <patternFill patternType="solid">
        <fgColor rgb="FF4472C4"/>
        <bgColor indexed="64"/>
      </patternFill>
    </fill>
    <fill>
      <patternFill patternType="solid">
        <fgColor rgb="FFA7E8FF"/>
        <bgColor indexed="64"/>
      </patternFill>
    </fill>
    <fill>
      <patternFill patternType="solid">
        <fgColor theme="8"/>
        <bgColor indexed="64"/>
      </patternFill>
    </fill>
  </fills>
  <borders count="14">
    <border>
      <left/>
      <right/>
      <top/>
      <bottom/>
      <diagonal/>
    </border>
    <border>
      <left/>
      <right/>
      <top/>
      <bottom style="thick">
        <color theme="4"/>
      </bottom>
      <diagonal/>
    </border>
    <border>
      <left/>
      <right/>
      <top style="thick">
        <color theme="4"/>
      </top>
      <bottom/>
      <diagonal/>
    </border>
    <border>
      <left style="thin">
        <color rgb="FF00B0F0"/>
      </left>
      <right style="thin">
        <color rgb="FF00B0F0"/>
      </right>
      <top style="thin">
        <color rgb="FF00B0F0"/>
      </top>
      <bottom style="thin">
        <color rgb="FF00B0F0"/>
      </bottom>
      <diagonal/>
    </border>
    <border>
      <left/>
      <right/>
      <top style="thin">
        <color rgb="FF00B0F0"/>
      </top>
      <bottom style="thin">
        <color rgb="FF00B0F0"/>
      </bottom>
      <diagonal/>
    </border>
    <border>
      <left style="thin">
        <color rgb="FFCCFFFF"/>
      </left>
      <right/>
      <top/>
      <bottom/>
      <diagonal/>
    </border>
    <border>
      <left/>
      <right/>
      <top style="thin">
        <color rgb="FFCCFFFF"/>
      </top>
      <bottom style="thin">
        <color rgb="FFCCFFFF"/>
      </bottom>
      <diagonal/>
    </border>
    <border>
      <left/>
      <right style="thin">
        <color rgb="FFCCFFFF"/>
      </right>
      <top style="thin">
        <color rgb="FFCCFFFF"/>
      </top>
      <bottom style="thin">
        <color rgb="FFCCFFFF"/>
      </bottom>
      <diagonal/>
    </border>
    <border>
      <left style="thin">
        <color rgb="FFCCFFFF"/>
      </left>
      <right style="thin">
        <color rgb="FFCCFFFF"/>
      </right>
      <top style="thin">
        <color rgb="FFCCFFFF"/>
      </top>
      <bottom style="thin">
        <color rgb="FFCCFFFF"/>
      </bottom>
      <diagonal/>
    </border>
    <border>
      <left/>
      <right/>
      <top style="thin">
        <color rgb="FFCCFFFF"/>
      </top>
      <bottom/>
      <diagonal/>
    </border>
    <border>
      <left/>
      <right/>
      <top/>
      <bottom style="thin">
        <color rgb="FFCCFFFF"/>
      </bottom>
      <diagonal/>
    </border>
    <border>
      <left/>
      <right style="thin">
        <color rgb="FFCCFFFF"/>
      </right>
      <top/>
      <bottom style="thin">
        <color rgb="FFCCFFFF"/>
      </bottom>
      <diagonal/>
    </border>
    <border>
      <left style="thin">
        <color rgb="FFCCFFFF"/>
      </left>
      <right style="thin">
        <color rgb="FFCCFFFF"/>
      </right>
      <top/>
      <bottom style="thin">
        <color rgb="FFCCFFFF"/>
      </bottom>
      <diagonal/>
    </border>
    <border>
      <left/>
      <right/>
      <top style="thin">
        <color rgb="FFCCFFFF"/>
      </top>
      <bottom style="thin">
        <color rgb="FFFF0000"/>
      </bottom>
      <diagonal/>
    </border>
  </borders>
  <cellStyleXfs count="203">
    <xf numFmtId="0" fontId="0" fillId="0" borderId="0"/>
    <xf numFmtId="0" fontId="1" fillId="0" borderId="1" applyNumberFormat="0" applyFill="0" applyAlignment="0" applyProtection="0"/>
    <xf numFmtId="0" fontId="2"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9" fontId="26" fillId="0" borderId="0" applyFont="0" applyFill="0" applyBorder="0" applyAlignment="0" applyProtection="0"/>
    <xf numFmtId="0" fontId="30" fillId="0" borderId="0"/>
    <xf numFmtId="0" fontId="2" fillId="0" borderId="0" applyNumberFormat="0" applyFill="0" applyBorder="0" applyAlignment="0" applyProtection="0"/>
  </cellStyleXfs>
  <cellXfs count="229">
    <xf numFmtId="0" fontId="0" fillId="0" borderId="0" xfId="0"/>
    <xf numFmtId="0" fontId="0" fillId="4" borderId="0" xfId="0" applyFill="1"/>
    <xf numFmtId="0" fontId="0" fillId="0" borderId="0" xfId="0" applyProtection="1">
      <protection locked="0"/>
    </xf>
    <xf numFmtId="3" fontId="8" fillId="0" borderId="0" xfId="0" applyNumberFormat="1" applyFont="1"/>
    <xf numFmtId="3" fontId="7" fillId="0" borderId="0" xfId="0" applyNumberFormat="1" applyFont="1"/>
    <xf numFmtId="15" fontId="7" fillId="0" borderId="0" xfId="0" applyNumberFormat="1" applyFont="1"/>
    <xf numFmtId="0" fontId="7" fillId="0" borderId="0" xfId="0" applyFont="1" applyAlignment="1">
      <alignment horizontal="right"/>
    </xf>
    <xf numFmtId="0" fontId="0" fillId="4" borderId="0" xfId="0" applyFill="1" applyProtection="1">
      <protection locked="0"/>
    </xf>
    <xf numFmtId="0" fontId="12" fillId="0" borderId="0" xfId="0" applyFont="1" applyAlignment="1">
      <alignment horizontal="left" vertical="center"/>
    </xf>
    <xf numFmtId="0" fontId="0" fillId="0" borderId="0" xfId="0" applyBorder="1"/>
    <xf numFmtId="0" fontId="0" fillId="0" borderId="0" xfId="0" applyBorder="1"/>
    <xf numFmtId="0" fontId="17" fillId="0" borderId="0" xfId="0" applyFont="1" applyBorder="1"/>
    <xf numFmtId="0" fontId="0" fillId="0" borderId="0" xfId="0" applyFill="1" applyBorder="1"/>
    <xf numFmtId="0" fontId="0" fillId="0" borderId="0" xfId="0" applyBorder="1" applyProtection="1">
      <protection locked="0"/>
    </xf>
    <xf numFmtId="4" fontId="0" fillId="0" borderId="0" xfId="0" applyNumberFormat="1" applyBorder="1" applyProtection="1">
      <protection locked="0"/>
    </xf>
    <xf numFmtId="14" fontId="0" fillId="0" borderId="0" xfId="0" applyNumberFormat="1" applyBorder="1" applyProtection="1">
      <protection locked="0"/>
    </xf>
    <xf numFmtId="0" fontId="0" fillId="30" borderId="0" xfId="0" applyFill="1" applyBorder="1"/>
    <xf numFmtId="0" fontId="0" fillId="29" borderId="0" xfId="0" applyFill="1" applyBorder="1"/>
    <xf numFmtId="0" fontId="0" fillId="9" borderId="0" xfId="0" applyFill="1" applyBorder="1"/>
    <xf numFmtId="0" fontId="0" fillId="2" borderId="0" xfId="0" applyFill="1" applyBorder="1"/>
    <xf numFmtId="0" fontId="0" fillId="11" borderId="0" xfId="0" applyFill="1" applyBorder="1"/>
    <xf numFmtId="0" fontId="0" fillId="32" borderId="0" xfId="0" applyFill="1" applyBorder="1"/>
    <xf numFmtId="0" fontId="0" fillId="15" borderId="0" xfId="0" applyFill="1" applyBorder="1"/>
    <xf numFmtId="0" fontId="0" fillId="6" borderId="0" xfId="0" applyFill="1" applyBorder="1"/>
    <xf numFmtId="0" fontId="0" fillId="28" borderId="0" xfId="0" applyFill="1" applyBorder="1"/>
    <xf numFmtId="0" fontId="0" fillId="31" borderId="0" xfId="0" applyFill="1" applyBorder="1"/>
    <xf numFmtId="0" fontId="0" fillId="33" borderId="0" xfId="0" applyFill="1" applyBorder="1"/>
    <xf numFmtId="1" fontId="0" fillId="0" borderId="0" xfId="0" applyNumberFormat="1" applyBorder="1"/>
    <xf numFmtId="0" fontId="0" fillId="16" borderId="0" xfId="0" applyFill="1" applyBorder="1"/>
    <xf numFmtId="0" fontId="0" fillId="10" borderId="0" xfId="0" applyFill="1" applyBorder="1"/>
    <xf numFmtId="0" fontId="0" fillId="12" borderId="0" xfId="0" applyFill="1" applyBorder="1"/>
    <xf numFmtId="0" fontId="0" fillId="5" borderId="0" xfId="0" applyFill="1" applyBorder="1"/>
    <xf numFmtId="0" fontId="0" fillId="27" borderId="0" xfId="0" applyFill="1" applyBorder="1"/>
    <xf numFmtId="0" fontId="0" fillId="4" borderId="0" xfId="0" applyFill="1" applyBorder="1"/>
    <xf numFmtId="0" fontId="0" fillId="25" borderId="0" xfId="0" applyFill="1" applyBorder="1"/>
    <xf numFmtId="0" fontId="0" fillId="7" borderId="0" xfId="0" applyFill="1" applyBorder="1"/>
    <xf numFmtId="0" fontId="0" fillId="17" borderId="0" xfId="0" applyFill="1" applyBorder="1"/>
    <xf numFmtId="0" fontId="0" fillId="18" borderId="0" xfId="0" applyFill="1" applyBorder="1"/>
    <xf numFmtId="0" fontId="0" fillId="14" borderId="0" xfId="0" applyFill="1" applyBorder="1"/>
    <xf numFmtId="0" fontId="0" fillId="23" borderId="0" xfId="0" applyFill="1" applyBorder="1"/>
    <xf numFmtId="0" fontId="0" fillId="22" borderId="0" xfId="0" applyFill="1" applyBorder="1"/>
    <xf numFmtId="0" fontId="0" fillId="13" borderId="0" xfId="0" applyFill="1" applyBorder="1"/>
    <xf numFmtId="0" fontId="0" fillId="26" borderId="0" xfId="0" applyFill="1" applyBorder="1"/>
    <xf numFmtId="0" fontId="0" fillId="20" borderId="0" xfId="0" applyFill="1" applyBorder="1"/>
    <xf numFmtId="0" fontId="0" fillId="19" borderId="0" xfId="0" applyFill="1" applyBorder="1"/>
    <xf numFmtId="0" fontId="0" fillId="24" borderId="0" xfId="0" applyFill="1" applyBorder="1"/>
    <xf numFmtId="0" fontId="0" fillId="8" borderId="0" xfId="0" applyFill="1" applyBorder="1"/>
    <xf numFmtId="0" fontId="0" fillId="21" borderId="0" xfId="0" applyFill="1" applyBorder="1"/>
    <xf numFmtId="0" fontId="0" fillId="0" borderId="0" xfId="0" applyFill="1" applyBorder="1" applyProtection="1">
      <protection locked="0"/>
    </xf>
    <xf numFmtId="49" fontId="0" fillId="0" borderId="0" xfId="0" applyNumberFormat="1" applyFill="1" applyBorder="1"/>
    <xf numFmtId="14" fontId="0" fillId="0" borderId="0" xfId="0" applyNumberFormat="1" applyFill="1" applyBorder="1" applyProtection="1">
      <protection locked="0"/>
    </xf>
    <xf numFmtId="0" fontId="0" fillId="0" borderId="0" xfId="0" applyNumberFormat="1" applyFill="1" applyBorder="1"/>
    <xf numFmtId="0" fontId="0" fillId="0" borderId="0" xfId="0"/>
    <xf numFmtId="0" fontId="0" fillId="34" borderId="0" xfId="0" applyFill="1" applyBorder="1"/>
    <xf numFmtId="0" fontId="0" fillId="35" borderId="0" xfId="0" applyFill="1" applyBorder="1"/>
    <xf numFmtId="0" fontId="0" fillId="3" borderId="0" xfId="0" applyFill="1" applyBorder="1"/>
    <xf numFmtId="0" fontId="0" fillId="0" borderId="0" xfId="0"/>
    <xf numFmtId="0" fontId="0" fillId="0" borderId="0" xfId="0"/>
    <xf numFmtId="0" fontId="0" fillId="36" borderId="0" xfId="0" applyFill="1" applyBorder="1"/>
    <xf numFmtId="0" fontId="0" fillId="37" borderId="0" xfId="0" applyFill="1" applyBorder="1"/>
    <xf numFmtId="0" fontId="0" fillId="0" borderId="0" xfId="0"/>
    <xf numFmtId="0" fontId="0" fillId="38" borderId="0" xfId="0" applyFill="1" applyBorder="1"/>
    <xf numFmtId="0" fontId="0" fillId="0" borderId="0" xfId="0"/>
    <xf numFmtId="0" fontId="0" fillId="0" borderId="0" xfId="0"/>
    <xf numFmtId="0" fontId="6" fillId="4" borderId="0" xfId="0" applyFont="1" applyFill="1" applyBorder="1"/>
    <xf numFmtId="0" fontId="5" fillId="4" borderId="0" xfId="0" applyFont="1" applyFill="1" applyBorder="1"/>
    <xf numFmtId="49" fontId="0" fillId="0" borderId="0" xfId="0" applyNumberFormat="1" applyBorder="1"/>
    <xf numFmtId="0" fontId="4" fillId="4" borderId="0" xfId="0" applyFont="1" applyFill="1" applyBorder="1" applyAlignment="1">
      <alignment horizontal="left" vertical="center" indent="5"/>
    </xf>
    <xf numFmtId="0" fontId="3" fillId="4" borderId="0" xfId="0" applyFont="1" applyFill="1" applyBorder="1" applyProtection="1">
      <protection locked="0"/>
    </xf>
    <xf numFmtId="0" fontId="15" fillId="4" borderId="0" xfId="0" applyFont="1" applyFill="1" applyBorder="1" applyAlignment="1">
      <alignment horizontal="left" vertical="center"/>
    </xf>
    <xf numFmtId="0" fontId="4" fillId="2" borderId="0" xfId="0" applyFont="1" applyFill="1" applyBorder="1" applyAlignment="1">
      <alignment horizontal="left" vertical="center" indent="5"/>
    </xf>
    <xf numFmtId="0" fontId="3" fillId="2" borderId="0" xfId="0" applyFont="1" applyFill="1" applyBorder="1" applyProtection="1">
      <protection locked="0"/>
    </xf>
    <xf numFmtId="0" fontId="18" fillId="0" borderId="0" xfId="0" applyFont="1" applyBorder="1"/>
    <xf numFmtId="0" fontId="16" fillId="4" borderId="0" xfId="0" applyFont="1" applyFill="1" applyBorder="1"/>
    <xf numFmtId="0" fontId="0" fillId="4" borderId="0" xfId="0" applyFill="1" applyBorder="1" applyAlignment="1">
      <alignment horizontal="center"/>
    </xf>
    <xf numFmtId="0" fontId="14" fillId="0" borderId="0" xfId="0" applyFont="1" applyBorder="1"/>
    <xf numFmtId="0" fontId="0" fillId="0" borderId="0" xfId="0" applyBorder="1"/>
    <xf numFmtId="0" fontId="0" fillId="39" borderId="0" xfId="0" applyFill="1" applyBorder="1"/>
    <xf numFmtId="0" fontId="0" fillId="40" borderId="0" xfId="0" applyFill="1" applyBorder="1"/>
    <xf numFmtId="0" fontId="0" fillId="41" borderId="0" xfId="0" applyFill="1" applyBorder="1"/>
    <xf numFmtId="0" fontId="0" fillId="42" borderId="0" xfId="0" applyFill="1" applyBorder="1"/>
    <xf numFmtId="0" fontId="0" fillId="43" borderId="0" xfId="0" applyFill="1" applyBorder="1"/>
    <xf numFmtId="0" fontId="0" fillId="44" borderId="0" xfId="0" applyFill="1" applyBorder="1"/>
    <xf numFmtId="0" fontId="0" fillId="45" borderId="0" xfId="0" applyFill="1" applyBorder="1"/>
    <xf numFmtId="0" fontId="0" fillId="46" borderId="0" xfId="0" applyFill="1" applyBorder="1"/>
    <xf numFmtId="0" fontId="0" fillId="47" borderId="0" xfId="0" applyFill="1" applyBorder="1"/>
    <xf numFmtId="0" fontId="0" fillId="48" borderId="0" xfId="0" applyFill="1" applyBorder="1"/>
    <xf numFmtId="0" fontId="0" fillId="0" borderId="0" xfId="0"/>
    <xf numFmtId="0" fontId="0" fillId="0" borderId="0" xfId="0"/>
    <xf numFmtId="14" fontId="0" fillId="0" borderId="0" xfId="0" applyNumberFormat="1"/>
    <xf numFmtId="0" fontId="21" fillId="0" borderId="0" xfId="0" applyFont="1" applyFill="1" applyAlignment="1"/>
    <xf numFmtId="0" fontId="0" fillId="0" borderId="0" xfId="0"/>
    <xf numFmtId="0" fontId="0" fillId="48" borderId="0" xfId="0" applyFill="1"/>
    <xf numFmtId="0" fontId="0" fillId="0" borderId="0" xfId="0"/>
    <xf numFmtId="0" fontId="0" fillId="0" borderId="0" xfId="0" pivotButton="1"/>
    <xf numFmtId="0" fontId="0" fillId="0" borderId="0" xfId="0" applyNumberFormat="1"/>
    <xf numFmtId="0" fontId="0" fillId="0" borderId="0" xfId="0" applyAlignment="1">
      <alignment horizontal="left"/>
    </xf>
    <xf numFmtId="0" fontId="0" fillId="0" borderId="0" xfId="0"/>
    <xf numFmtId="0" fontId="0" fillId="0" borderId="0" xfId="0" applyFill="1"/>
    <xf numFmtId="3" fontId="9" fillId="0" borderId="0" xfId="0" applyNumberFormat="1" applyFont="1" applyBorder="1"/>
    <xf numFmtId="0" fontId="7" fillId="0" borderId="0" xfId="0" applyFont="1" applyBorder="1"/>
    <xf numFmtId="0" fontId="11" fillId="0" borderId="3" xfId="0" applyFont="1" applyBorder="1"/>
    <xf numFmtId="0" fontId="7" fillId="0" borderId="3" xfId="0" applyFont="1" applyBorder="1" applyAlignment="1">
      <alignment horizontal="right"/>
    </xf>
    <xf numFmtId="0" fontId="7" fillId="0" borderId="3" xfId="0" applyFont="1" applyBorder="1"/>
    <xf numFmtId="15" fontId="7" fillId="0" borderId="3" xfId="0" applyNumberFormat="1" applyFont="1" applyBorder="1"/>
    <xf numFmtId="3" fontId="7" fillId="0" borderId="3" xfId="0" applyNumberFormat="1" applyFont="1" applyBorder="1"/>
    <xf numFmtId="3" fontId="9" fillId="0" borderId="3" xfId="0" applyNumberFormat="1" applyFont="1" applyBorder="1"/>
    <xf numFmtId="0" fontId="1" fillId="49" borderId="1" xfId="1" applyFill="1" applyAlignment="1">
      <alignment vertical="center"/>
    </xf>
    <xf numFmtId="0" fontId="1" fillId="49" borderId="1" xfId="1" applyFill="1"/>
    <xf numFmtId="0" fontId="1" fillId="49" borderId="1" xfId="1" applyFill="1" applyProtection="1">
      <protection locked="0"/>
    </xf>
    <xf numFmtId="9" fontId="1" fillId="49" borderId="1" xfId="1" applyNumberFormat="1" applyFill="1" applyProtection="1">
      <protection locked="0"/>
    </xf>
    <xf numFmtId="0" fontId="0" fillId="48" borderId="0" xfId="0" applyFill="1" applyProtection="1">
      <protection locked="0"/>
    </xf>
    <xf numFmtId="0" fontId="0" fillId="0" borderId="0" xfId="0" applyAlignment="1">
      <alignment horizontal="center"/>
    </xf>
    <xf numFmtId="0" fontId="25" fillId="0" borderId="0" xfId="0" applyFont="1" applyAlignment="1"/>
    <xf numFmtId="9" fontId="0" fillId="0" borderId="0" xfId="200" applyFont="1" applyProtection="1">
      <protection locked="0"/>
    </xf>
    <xf numFmtId="0" fontId="7" fillId="0" borderId="4" xfId="0" applyFont="1" applyBorder="1"/>
    <xf numFmtId="15" fontId="7" fillId="0" borderId="4" xfId="0" applyNumberFormat="1" applyFont="1" applyBorder="1"/>
    <xf numFmtId="0" fontId="27" fillId="48" borderId="0" xfId="0" applyFont="1" applyFill="1"/>
    <xf numFmtId="0" fontId="17" fillId="0" borderId="0" xfId="0" applyFont="1" applyProtection="1">
      <protection locked="0"/>
    </xf>
    <xf numFmtId="2" fontId="17" fillId="0" borderId="0" xfId="0" applyNumberFormat="1" applyFont="1" applyProtection="1">
      <protection locked="0"/>
    </xf>
    <xf numFmtId="14" fontId="17" fillId="0" borderId="0" xfId="0" applyNumberFormat="1" applyFont="1" applyProtection="1">
      <protection locked="0"/>
    </xf>
    <xf numFmtId="9" fontId="17" fillId="0" borderId="0" xfId="0" applyNumberFormat="1" applyFont="1" applyProtection="1">
      <protection locked="0"/>
    </xf>
    <xf numFmtId="9" fontId="17" fillId="0" borderId="0" xfId="200" applyFont="1" applyProtection="1">
      <protection locked="0"/>
    </xf>
    <xf numFmtId="0" fontId="0" fillId="0" borderId="0" xfId="0"/>
    <xf numFmtId="0" fontId="28" fillId="50" borderId="0" xfId="0" applyFont="1" applyFill="1"/>
    <xf numFmtId="0" fontId="25" fillId="0" borderId="0" xfId="0" applyFont="1" applyBorder="1" applyAlignment="1"/>
    <xf numFmtId="14" fontId="0" fillId="0" borderId="0" xfId="0" applyNumberFormat="1" applyAlignment="1">
      <alignment horizontal="left"/>
    </xf>
    <xf numFmtId="0" fontId="0" fillId="0" borderId="0" xfId="0"/>
    <xf numFmtId="0" fontId="0" fillId="0" borderId="0" xfId="0"/>
    <xf numFmtId="164" fontId="0" fillId="0" borderId="0" xfId="0" applyNumberFormat="1"/>
    <xf numFmtId="0" fontId="0" fillId="0" borderId="0" xfId="0"/>
    <xf numFmtId="0" fontId="0" fillId="0" borderId="0" xfId="0"/>
    <xf numFmtId="0" fontId="18" fillId="0" borderId="0" xfId="0" applyFont="1"/>
    <xf numFmtId="18" fontId="0" fillId="0" borderId="0" xfId="0" applyNumberFormat="1"/>
    <xf numFmtId="0" fontId="32" fillId="0" borderId="0" xfId="0" applyFont="1" applyAlignment="1">
      <alignment horizontal="center" vertical="center"/>
    </xf>
    <xf numFmtId="9" fontId="32" fillId="0" borderId="0" xfId="0" applyNumberFormat="1" applyFont="1" applyAlignment="1">
      <alignment horizontal="center" vertical="center"/>
    </xf>
    <xf numFmtId="0" fontId="32" fillId="0" borderId="0" xfId="0" applyFont="1" applyAlignment="1">
      <alignment horizontal="left" vertical="center"/>
    </xf>
    <xf numFmtId="0" fontId="32" fillId="0" borderId="0" xfId="0" applyFont="1" applyAlignment="1">
      <alignment horizontal="right" vertical="center"/>
    </xf>
    <xf numFmtId="0" fontId="33" fillId="0" borderId="0" xfId="0" applyFont="1" applyAlignment="1">
      <alignment horizontal="center" vertical="center"/>
    </xf>
    <xf numFmtId="0" fontId="32" fillId="0" borderId="0" xfId="0" applyNumberFormat="1" applyFont="1" applyAlignment="1">
      <alignment horizontal="center" vertical="center"/>
    </xf>
    <xf numFmtId="0" fontId="32" fillId="48" borderId="0" xfId="0" applyFont="1" applyFill="1" applyAlignment="1">
      <alignment horizontal="center" vertical="center"/>
    </xf>
    <xf numFmtId="0" fontId="32" fillId="48" borderId="0" xfId="0" applyFont="1" applyFill="1" applyAlignment="1">
      <alignment horizontal="left" vertical="center"/>
    </xf>
    <xf numFmtId="0" fontId="33" fillId="48" borderId="0" xfId="0" applyFont="1" applyFill="1" applyAlignment="1">
      <alignment horizontal="center" vertical="center"/>
    </xf>
    <xf numFmtId="0" fontId="32" fillId="48" borderId="0" xfId="0" applyFont="1" applyFill="1" applyAlignment="1">
      <alignment horizontal="right" vertical="center"/>
    </xf>
    <xf numFmtId="9" fontId="32" fillId="48" borderId="0" xfId="0" applyNumberFormat="1" applyFont="1" applyFill="1" applyAlignment="1">
      <alignment horizontal="center" vertical="center"/>
    </xf>
    <xf numFmtId="0" fontId="32" fillId="48" borderId="0" xfId="0" applyNumberFormat="1" applyFont="1" applyFill="1" applyAlignment="1">
      <alignment horizontal="center" vertical="center"/>
    </xf>
    <xf numFmtId="0" fontId="35" fillId="48" borderId="0" xfId="0" applyFont="1" applyFill="1"/>
    <xf numFmtId="0" fontId="37" fillId="6" borderId="0" xfId="0" applyFont="1" applyFill="1" applyAlignment="1">
      <alignment horizontal="left" vertical="center"/>
    </xf>
    <xf numFmtId="0" fontId="37" fillId="28" borderId="0" xfId="0" applyFont="1" applyFill="1" applyAlignment="1">
      <alignment horizontal="left" vertical="center"/>
    </xf>
    <xf numFmtId="0" fontId="0" fillId="0" borderId="5" xfId="0" applyBorder="1"/>
    <xf numFmtId="0" fontId="32" fillId="28" borderId="6" xfId="0" applyFont="1" applyFill="1" applyBorder="1" applyAlignment="1">
      <alignment horizontal="center" vertical="center"/>
    </xf>
    <xf numFmtId="9" fontId="32" fillId="28" borderId="6" xfId="0" applyNumberFormat="1" applyFont="1" applyFill="1" applyBorder="1" applyAlignment="1">
      <alignment horizontal="center" vertical="center"/>
    </xf>
    <xf numFmtId="0" fontId="32" fillId="28" borderId="6" xfId="0" applyNumberFormat="1" applyFont="1" applyFill="1" applyBorder="1" applyAlignment="1">
      <alignment horizontal="center" vertical="center"/>
    </xf>
    <xf numFmtId="0" fontId="32" fillId="28" borderId="7" xfId="0" applyFont="1" applyFill="1" applyBorder="1" applyAlignment="1">
      <alignment horizontal="center" vertical="center"/>
    </xf>
    <xf numFmtId="0" fontId="37" fillId="28" borderId="8" xfId="0" applyFont="1" applyFill="1" applyBorder="1" applyAlignment="1">
      <alignment horizontal="center" vertical="center"/>
    </xf>
    <xf numFmtId="0" fontId="37" fillId="43" borderId="8" xfId="0" applyFont="1" applyFill="1" applyBorder="1" applyAlignment="1">
      <alignment horizontal="center" vertical="center"/>
    </xf>
    <xf numFmtId="165" fontId="32" fillId="0" borderId="0" xfId="0" applyNumberFormat="1" applyFont="1" applyAlignment="1">
      <alignment horizontal="right" vertical="center"/>
    </xf>
    <xf numFmtId="0" fontId="31" fillId="0" borderId="0" xfId="0" applyFont="1"/>
    <xf numFmtId="0" fontId="32" fillId="0" borderId="0" xfId="0" applyFont="1" applyBorder="1" applyAlignment="1">
      <alignment horizontal="center" vertical="center"/>
    </xf>
    <xf numFmtId="0" fontId="32" fillId="0" borderId="0" xfId="0" applyFont="1" applyBorder="1" applyAlignment="1">
      <alignment horizontal="left" vertical="center"/>
    </xf>
    <xf numFmtId="0" fontId="33" fillId="0" borderId="0" xfId="0" applyFont="1" applyBorder="1" applyAlignment="1">
      <alignment horizontal="center" vertical="center"/>
    </xf>
    <xf numFmtId="0" fontId="32" fillId="0" borderId="0" xfId="0" applyFont="1" applyBorder="1" applyAlignment="1">
      <alignment horizontal="right" vertical="center"/>
    </xf>
    <xf numFmtId="9" fontId="32" fillId="0" borderId="0" xfId="0" applyNumberFormat="1" applyFont="1" applyBorder="1" applyAlignment="1">
      <alignment horizontal="center" vertical="center"/>
    </xf>
    <xf numFmtId="0" fontId="32" fillId="0" borderId="0" xfId="0" applyNumberFormat="1" applyFont="1" applyBorder="1" applyAlignment="1">
      <alignment horizontal="center" vertical="center"/>
    </xf>
    <xf numFmtId="0" fontId="32" fillId="0" borderId="10" xfId="0" applyFont="1" applyBorder="1" applyAlignment="1">
      <alignment horizontal="center" vertical="center"/>
    </xf>
    <xf numFmtId="0" fontId="32" fillId="0" borderId="10" xfId="0" applyFont="1" applyBorder="1" applyAlignment="1">
      <alignment horizontal="left" vertical="center"/>
    </xf>
    <xf numFmtId="0" fontId="33" fillId="0" borderId="10" xfId="0" applyFont="1" applyBorder="1" applyAlignment="1">
      <alignment horizontal="center" vertical="center"/>
    </xf>
    <xf numFmtId="0" fontId="32" fillId="0" borderId="10" xfId="0" applyFont="1" applyBorder="1" applyAlignment="1">
      <alignment horizontal="right" vertical="center"/>
    </xf>
    <xf numFmtId="9" fontId="32" fillId="0" borderId="10" xfId="0" applyNumberFormat="1" applyFont="1" applyBorder="1" applyAlignment="1">
      <alignment horizontal="center" vertical="center"/>
    </xf>
    <xf numFmtId="0" fontId="32" fillId="0" borderId="10" xfId="0" applyNumberFormat="1" applyFont="1" applyBorder="1" applyAlignment="1">
      <alignment horizontal="center" vertical="center"/>
    </xf>
    <xf numFmtId="0" fontId="32" fillId="0" borderId="11" xfId="0" applyFont="1" applyBorder="1" applyAlignment="1">
      <alignment horizontal="center" vertical="center"/>
    </xf>
    <xf numFmtId="0" fontId="37" fillId="31" borderId="12" xfId="0" applyFont="1" applyFill="1" applyBorder="1" applyAlignment="1">
      <alignment horizontal="center" vertical="center"/>
    </xf>
    <xf numFmtId="0" fontId="32" fillId="35" borderId="6" xfId="0" applyFont="1" applyFill="1" applyBorder="1" applyAlignment="1">
      <alignment horizontal="left" vertical="center"/>
    </xf>
    <xf numFmtId="0" fontId="41" fillId="0" borderId="6" xfId="0" applyFont="1" applyBorder="1" applyAlignment="1">
      <alignment horizontal="center" vertical="center"/>
    </xf>
    <xf numFmtId="0" fontId="32" fillId="0" borderId="6" xfId="0" applyFont="1" applyBorder="1" applyAlignment="1">
      <alignment horizontal="left" vertical="center"/>
    </xf>
    <xf numFmtId="0" fontId="38" fillId="45" borderId="6" xfId="0" applyFont="1" applyFill="1" applyBorder="1" applyAlignment="1">
      <alignment horizontal="center" vertical="center"/>
    </xf>
    <xf numFmtId="0" fontId="36" fillId="0" borderId="6" xfId="0" applyFont="1" applyBorder="1" applyAlignment="1">
      <alignment horizontal="center" vertical="center"/>
    </xf>
    <xf numFmtId="166" fontId="32" fillId="0" borderId="6" xfId="0" applyNumberFormat="1" applyFont="1" applyBorder="1" applyAlignment="1">
      <alignment horizontal="right" vertical="center"/>
    </xf>
    <xf numFmtId="165" fontId="32" fillId="0" borderId="6" xfId="0" applyNumberFormat="1" applyFont="1" applyBorder="1" applyAlignment="1">
      <alignment horizontal="right" vertical="center"/>
    </xf>
    <xf numFmtId="0" fontId="32" fillId="0" borderId="6" xfId="0" applyFont="1" applyBorder="1" applyAlignment="1">
      <alignment horizontal="right" vertical="center"/>
    </xf>
    <xf numFmtId="0" fontId="32" fillId="0" borderId="6" xfId="0" applyFont="1" applyBorder="1" applyAlignment="1">
      <alignment horizontal="center" vertical="center"/>
    </xf>
    <xf numFmtId="9" fontId="32" fillId="0" borderId="6" xfId="0" applyNumberFormat="1" applyFont="1" applyBorder="1" applyAlignment="1">
      <alignment horizontal="center" vertical="center"/>
    </xf>
    <xf numFmtId="0" fontId="32" fillId="0" borderId="6" xfId="0" applyNumberFormat="1" applyFont="1" applyBorder="1" applyAlignment="1">
      <alignment horizontal="left" vertical="center"/>
    </xf>
    <xf numFmtId="0" fontId="32" fillId="0" borderId="7" xfId="0" applyFont="1" applyBorder="1" applyAlignment="1">
      <alignment horizontal="left" vertical="center"/>
    </xf>
    <xf numFmtId="0" fontId="0" fillId="0" borderId="8" xfId="0" applyFill="1" applyBorder="1"/>
    <xf numFmtId="0" fontId="32" fillId="0" borderId="13" xfId="0" applyFont="1" applyBorder="1" applyAlignment="1">
      <alignment horizontal="center" vertical="center"/>
    </xf>
    <xf numFmtId="0" fontId="32" fillId="0" borderId="13" xfId="0" applyFont="1" applyBorder="1" applyAlignment="1">
      <alignment horizontal="left" vertical="center"/>
    </xf>
    <xf numFmtId="0" fontId="33" fillId="0" borderId="13" xfId="0" applyFont="1" applyBorder="1" applyAlignment="1">
      <alignment horizontal="center" vertical="center"/>
    </xf>
    <xf numFmtId="0" fontId="32" fillId="0" borderId="13" xfId="0" applyFont="1" applyBorder="1" applyAlignment="1">
      <alignment horizontal="right" vertical="center"/>
    </xf>
    <xf numFmtId="165" fontId="32" fillId="0" borderId="13" xfId="0" applyNumberFormat="1" applyFont="1" applyBorder="1" applyAlignment="1">
      <alignment horizontal="right" vertical="center"/>
    </xf>
    <xf numFmtId="9" fontId="32" fillId="0" borderId="13" xfId="0" applyNumberFormat="1" applyFont="1" applyBorder="1" applyAlignment="1">
      <alignment horizontal="center" vertical="center"/>
    </xf>
    <xf numFmtId="0" fontId="32" fillId="0" borderId="13" xfId="0" applyNumberFormat="1" applyFont="1" applyBorder="1" applyAlignment="1">
      <alignment horizontal="center" vertical="center"/>
    </xf>
    <xf numFmtId="0" fontId="0" fillId="0" borderId="9" xfId="0" applyBorder="1"/>
    <xf numFmtId="0" fontId="32" fillId="7" borderId="6" xfId="0" applyFont="1" applyFill="1" applyBorder="1" applyAlignment="1">
      <alignment horizontal="left" vertical="center"/>
    </xf>
    <xf numFmtId="0" fontId="43" fillId="0" borderId="6" xfId="0" applyFont="1" applyBorder="1" applyAlignment="1">
      <alignment horizontal="center" vertical="center"/>
    </xf>
    <xf numFmtId="49" fontId="32" fillId="0" borderId="0" xfId="0" applyNumberFormat="1" applyFont="1" applyAlignment="1">
      <alignment horizontal="left" vertical="center"/>
    </xf>
    <xf numFmtId="49" fontId="40" fillId="48" borderId="0" xfId="0" applyNumberFormat="1" applyFont="1" applyFill="1" applyAlignment="1">
      <alignment horizontal="left" vertical="center"/>
    </xf>
    <xf numFmtId="49" fontId="34" fillId="0" borderId="0" xfId="0" applyNumberFormat="1" applyFont="1" applyAlignment="1">
      <alignment horizontal="left" vertical="center"/>
    </xf>
    <xf numFmtId="49" fontId="32" fillId="0" borderId="0" xfId="0" applyNumberFormat="1" applyFont="1" applyBorder="1" applyAlignment="1">
      <alignment horizontal="left" vertical="center"/>
    </xf>
    <xf numFmtId="49" fontId="32" fillId="28" borderId="6" xfId="0" applyNumberFormat="1" applyFont="1" applyFill="1" applyBorder="1" applyAlignment="1">
      <alignment horizontal="center" vertical="center"/>
    </xf>
    <xf numFmtId="49" fontId="32" fillId="0" borderId="6" xfId="0" applyNumberFormat="1" applyFont="1" applyBorder="1" applyAlignment="1">
      <alignment horizontal="left" vertical="center"/>
    </xf>
    <xf numFmtId="49" fontId="32" fillId="0" borderId="6" xfId="0" applyNumberFormat="1" applyFont="1" applyFill="1" applyBorder="1" applyAlignment="1">
      <alignment horizontal="left" vertical="center"/>
    </xf>
    <xf numFmtId="0" fontId="32" fillId="0" borderId="6" xfId="0" applyFont="1" applyFill="1" applyBorder="1" applyAlignment="1">
      <alignment horizontal="left" vertical="center"/>
    </xf>
    <xf numFmtId="0" fontId="36" fillId="0" borderId="6" xfId="0" applyFont="1" applyFill="1" applyBorder="1" applyAlignment="1">
      <alignment horizontal="center" vertical="center"/>
    </xf>
    <xf numFmtId="166" fontId="32" fillId="0" borderId="6" xfId="0" applyNumberFormat="1" applyFont="1" applyFill="1" applyBorder="1" applyAlignment="1">
      <alignment horizontal="right" vertical="center"/>
    </xf>
    <xf numFmtId="165" fontId="32" fillId="0" borderId="6" xfId="0" applyNumberFormat="1" applyFont="1" applyFill="1" applyBorder="1" applyAlignment="1">
      <alignment horizontal="right" vertical="center"/>
    </xf>
    <xf numFmtId="0" fontId="32" fillId="0" borderId="6" xfId="0" applyFont="1" applyFill="1" applyBorder="1" applyAlignment="1">
      <alignment horizontal="right" vertical="center"/>
    </xf>
    <xf numFmtId="0" fontId="32" fillId="0" borderId="6" xfId="0" applyFont="1" applyFill="1" applyBorder="1" applyAlignment="1">
      <alignment horizontal="center" vertical="center"/>
    </xf>
    <xf numFmtId="9" fontId="32" fillId="0" borderId="6" xfId="0" applyNumberFormat="1" applyFont="1" applyFill="1" applyBorder="1" applyAlignment="1">
      <alignment horizontal="center" vertical="center"/>
    </xf>
    <xf numFmtId="0" fontId="32" fillId="0" borderId="6" xfId="0" applyNumberFormat="1" applyFont="1" applyFill="1" applyBorder="1" applyAlignment="1">
      <alignment horizontal="left" vertical="center"/>
    </xf>
    <xf numFmtId="0" fontId="32" fillId="0" borderId="7" xfId="0" applyFont="1" applyFill="1" applyBorder="1" applyAlignment="1">
      <alignment horizontal="left" vertical="center"/>
    </xf>
    <xf numFmtId="49" fontId="32" fillId="0" borderId="13" xfId="0" applyNumberFormat="1" applyFont="1" applyBorder="1" applyAlignment="1">
      <alignment horizontal="left" vertical="center"/>
    </xf>
    <xf numFmtId="0" fontId="32" fillId="38" borderId="6" xfId="0" applyFont="1" applyFill="1" applyBorder="1" applyAlignment="1">
      <alignment horizontal="left" vertical="center"/>
    </xf>
    <xf numFmtId="0" fontId="32" fillId="0" borderId="6" xfId="0" applyNumberFormat="1" applyFont="1" applyBorder="1" applyAlignment="1">
      <alignment horizontal="right" vertical="center"/>
    </xf>
    <xf numFmtId="0" fontId="32" fillId="0" borderId="6" xfId="0" applyNumberFormat="1" applyFont="1" applyFill="1" applyBorder="1" applyAlignment="1">
      <alignment horizontal="right" vertical="center"/>
    </xf>
    <xf numFmtId="49" fontId="42" fillId="0" borderId="10" xfId="0" applyNumberFormat="1" applyFont="1" applyBorder="1" applyAlignment="1">
      <alignment horizontal="left" vertical="center"/>
    </xf>
    <xf numFmtId="0" fontId="39" fillId="0" borderId="13" xfId="0" applyNumberFormat="1" applyFont="1" applyBorder="1" applyAlignment="1">
      <alignment horizontal="left" vertical="center"/>
    </xf>
    <xf numFmtId="0" fontId="32" fillId="0" borderId="13" xfId="0" applyNumberFormat="1" applyFont="1" applyBorder="1" applyAlignment="1">
      <alignment horizontal="right" vertical="center"/>
    </xf>
    <xf numFmtId="0" fontId="12" fillId="0" borderId="0" xfId="0" applyFont="1" applyAlignment="1">
      <alignment horizontal="center" vertical="center"/>
    </xf>
    <xf numFmtId="0" fontId="10" fillId="0" borderId="0" xfId="0" applyFont="1" applyAlignment="1">
      <alignment horizontal="center"/>
    </xf>
    <xf numFmtId="0" fontId="10" fillId="0" borderId="0" xfId="0" applyFont="1" applyBorder="1" applyAlignment="1">
      <alignment horizontal="center"/>
    </xf>
    <xf numFmtId="9" fontId="29" fillId="0" borderId="0" xfId="0" applyNumberFormat="1" applyFont="1" applyAlignment="1">
      <alignment horizontal="center" vertical="top"/>
    </xf>
    <xf numFmtId="0" fontId="1" fillId="49" borderId="1" xfId="1" applyFill="1" applyAlignment="1">
      <alignment horizontal="left" vertical="center"/>
    </xf>
    <xf numFmtId="0" fontId="28" fillId="0" borderId="0" xfId="0" applyFont="1" applyFill="1" applyBorder="1" applyAlignment="1">
      <alignment horizontal="left" vertical="center"/>
    </xf>
    <xf numFmtId="0" fontId="28" fillId="50" borderId="2" xfId="0" applyFont="1" applyFill="1" applyBorder="1" applyAlignment="1">
      <alignment horizontal="left" vertical="center"/>
    </xf>
    <xf numFmtId="0" fontId="2" fillId="0" borderId="0" xfId="202"/>
    <xf numFmtId="0" fontId="0" fillId="0" borderId="0" xfId="0"/>
    <xf numFmtId="0" fontId="20" fillId="0" borderId="0" xfId="0" applyFont="1" applyFill="1" applyAlignment="1">
      <alignment horizontal="center" vertical="center"/>
    </xf>
    <xf numFmtId="0" fontId="21" fillId="0" borderId="0" xfId="0" applyFont="1" applyFill="1" applyAlignment="1">
      <alignment horizontal="center"/>
    </xf>
  </cellXfs>
  <cellStyles count="20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Heading 1" xfId="1" builtinId="16"/>
    <cellStyle name="Hyperlink" xfId="2" builtinId="8" hidden="1"/>
    <cellStyle name="Hyperlink" xfId="202" builtinId="8"/>
    <cellStyle name="Normal" xfId="0" builtinId="0"/>
    <cellStyle name="Normal 3" xfId="201"/>
    <cellStyle name="Percent" xfId="200" builtinId="5"/>
  </cellStyles>
  <dxfs count="5">
    <dxf>
      <font>
        <color rgb="FF9C0006"/>
      </font>
    </dxf>
    <dxf>
      <numFmt numFmtId="19" formatCode="m/d/yyyy"/>
    </dxf>
    <dxf>
      <numFmt numFmtId="19" formatCode="m/d/yyyy"/>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SlicerStyleDark1 2" pivot="0" table="0" count="10">
      <tableStyleElement type="wholeTable" dxfId="4"/>
      <tableStyleElement type="headerRow" dxfId="3"/>
    </tableStyle>
  </tableStyles>
  <colors>
    <mruColors>
      <color rgb="FFF0FFDD"/>
      <color rgb="FFDCF9A9"/>
      <color rgb="FF4472C4"/>
      <color rgb="FFA7E8FF"/>
      <color rgb="FF6DD9FF"/>
      <color rgb="FFFF5050"/>
      <color rgb="FFA6F020"/>
      <color rgb="FFC1EFFF"/>
      <color rgb="FFFF6699"/>
      <color rgb="FFB3F8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258776604889502E-2"/>
          <c:y val="0.168747777495555"/>
          <c:w val="0.80351473307215904"/>
          <c:h val="0.70013419693505996"/>
        </c:manualLayout>
      </c:layout>
      <c:doughnutChart>
        <c:varyColors val="1"/>
        <c:ser>
          <c:idx val="1"/>
          <c:order val="0"/>
          <c:spPr>
            <a:solidFill>
              <a:srgbClr val="DCF9A9"/>
            </a:solidFill>
            <a:ln>
              <a:noFill/>
            </a:ln>
            <a:effectLst>
              <a:outerShdw blurRad="57150" dist="19050" dir="5400000" algn="ctr" rotWithShape="0">
                <a:srgbClr val="000000">
                  <a:alpha val="63000"/>
                </a:srgbClr>
              </a:outerShdw>
            </a:effectLst>
          </c:spPr>
          <c:dPt>
            <c:idx val="0"/>
            <c:bubble3D val="0"/>
            <c:spPr>
              <a:solidFill>
                <a:srgbClr val="92D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F12-4C67-A126-C801D0FD01F5}"/>
              </c:ext>
            </c:extLst>
          </c:dPt>
          <c:dPt>
            <c:idx val="1"/>
            <c:bubble3D val="0"/>
            <c:extLst>
              <c:ext xmlns:c16="http://schemas.microsoft.com/office/drawing/2014/chart" uri="{C3380CC4-5D6E-409C-BE32-E72D297353CC}">
                <c16:uniqueId val="{00000003-1B71-43AA-85FE-AAD1180EC1F7}"/>
              </c:ext>
            </c:extLst>
          </c:dPt>
          <c:val>
            <c:numRef>
              <c:f>GanttDashboardTemplate!$AX$2:$AY$2</c:f>
              <c:numCache>
                <c:formatCode>0%</c:formatCode>
                <c:ptCount val="2"/>
                <c:pt idx="0">
                  <c:v>0.5</c:v>
                </c:pt>
                <c:pt idx="1">
                  <c:v>0.5</c:v>
                </c:pt>
              </c:numCache>
            </c:numRef>
          </c:val>
          <c:extLst>
            <c:ext xmlns:c16="http://schemas.microsoft.com/office/drawing/2014/chart" uri="{C3380CC4-5D6E-409C-BE32-E72D297353CC}">
              <c16:uniqueId val="{00000001-C13B-4724-8E0B-A1EA98DC8531}"/>
            </c:ext>
          </c:extLst>
        </c:ser>
        <c:dLbls>
          <c:showLegendKey val="0"/>
          <c:showVal val="0"/>
          <c:showCatName val="0"/>
          <c:showSerName val="0"/>
          <c:showPercent val="0"/>
          <c:showBubbleSize val="0"/>
          <c:showLeaderLines val="0"/>
        </c:dLbls>
        <c:firstSliceAng val="0"/>
        <c:holeSize val="50"/>
      </c:doughnutChart>
    </c:plotArea>
    <c:plotVisOnly val="0"/>
    <c:dispBlanksAs val="zero"/>
    <c:showDLblsOverMax val="0"/>
  </c:chart>
  <c:spPr>
    <a:noFill/>
    <a:ln>
      <a:noFill/>
    </a:ln>
  </c:spPr>
  <c:printSettings>
    <c:headerFooter/>
    <c:pageMargins b="0.75000000000001599" l="0.70000000000000095" r="0.70000000000000095" t="0.75000000000001599"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[Gantt_Excel_Pro_Daily_Free1.xlsm]PivotSheet!PT1</c:name>
    <c:fmtId val="2"/>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b="0">
                <a:solidFill>
                  <a:schemeClr val="lt1"/>
                </a:solidFill>
                <a:latin typeface="+mn-lt"/>
                <a:ea typeface="+mn-ea"/>
                <a:cs typeface="+mn-cs"/>
              </a:rPr>
              <a:t>TASK STATUS</a:t>
            </a:r>
            <a:endParaRPr lang="en-US" sz="1000" b="0">
              <a:solidFill>
                <a:sysClr val="windowText" lastClr="000000"/>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1"/>
        <c:spPr>
          <a:solidFill>
            <a:srgbClr val="DCF9A9"/>
          </a:solidFill>
          <a:ln w="19050">
            <a:solidFill>
              <a:schemeClr val="lt1"/>
            </a:solidFill>
          </a:ln>
          <a:effectLst/>
        </c:spPr>
      </c:pivotFmt>
      <c:pivotFmt>
        <c:idx val="12"/>
        <c:spPr>
          <a:solidFill>
            <a:srgbClr val="A7E8FF"/>
          </a:solidFill>
          <a:ln w="19050">
            <a:solidFill>
              <a:schemeClr val="lt1"/>
            </a:solidFill>
          </a:ln>
          <a:effectLst/>
        </c:spPr>
      </c:pivotFmt>
      <c:pivotFmt>
        <c:idx val="13"/>
        <c:spPr>
          <a:solidFill>
            <a:srgbClr val="FF5050"/>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s>
    <c:plotArea>
      <c:layout/>
      <c:pieChart>
        <c:varyColors val="1"/>
        <c:ser>
          <c:idx val="0"/>
          <c:order val="0"/>
          <c:tx>
            <c:strRef>
              <c:f>PivotSheet!$B$4</c:f>
              <c:strCache>
                <c:ptCount val="1"/>
                <c:pt idx="0">
                  <c:v>Total</c:v>
                </c:pt>
              </c:strCache>
            </c:strRef>
          </c:tx>
          <c:dPt>
            <c:idx val="0"/>
            <c:bubble3D val="0"/>
            <c:spPr>
              <a:solidFill>
                <a:srgbClr val="DCF9A9"/>
              </a:solidFill>
              <a:ln w="19050">
                <a:solidFill>
                  <a:schemeClr val="lt1"/>
                </a:solidFill>
              </a:ln>
              <a:effectLst/>
            </c:spPr>
            <c:extLst>
              <c:ext xmlns:c16="http://schemas.microsoft.com/office/drawing/2014/chart" uri="{C3380CC4-5D6E-409C-BE32-E72D297353CC}">
                <c16:uniqueId val="{00000001-E426-4258-8CA7-71D8556BB275}"/>
              </c:ext>
            </c:extLst>
          </c:dPt>
          <c:dPt>
            <c:idx val="1"/>
            <c:bubble3D val="0"/>
            <c:spPr>
              <a:solidFill>
                <a:srgbClr val="A7E8FF"/>
              </a:solidFill>
              <a:ln w="19050">
                <a:solidFill>
                  <a:schemeClr val="lt1"/>
                </a:solidFill>
              </a:ln>
              <a:effectLst/>
            </c:spPr>
            <c:extLst>
              <c:ext xmlns:c16="http://schemas.microsoft.com/office/drawing/2014/chart" uri="{C3380CC4-5D6E-409C-BE32-E72D297353CC}">
                <c16:uniqueId val="{00000003-E426-4258-8CA7-71D8556BB275}"/>
              </c:ext>
            </c:extLst>
          </c:dPt>
          <c:dPt>
            <c:idx val="2"/>
            <c:bubble3D val="0"/>
            <c:spPr>
              <a:solidFill>
                <a:srgbClr val="FF5050"/>
              </a:solidFill>
              <a:ln w="19050">
                <a:solidFill>
                  <a:schemeClr val="lt1"/>
                </a:solidFill>
              </a:ln>
              <a:effectLst/>
            </c:spPr>
            <c:extLst>
              <c:ext xmlns:c16="http://schemas.microsoft.com/office/drawing/2014/chart" uri="{C3380CC4-5D6E-409C-BE32-E72D297353CC}">
                <c16:uniqueId val="{00000005-E426-4258-8CA7-71D8556BB27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426-4258-8CA7-71D8556BB275}"/>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PivotSheet!$A$5:$A$8</c:f>
              <c:strCache>
                <c:ptCount val="4"/>
                <c:pt idx="0">
                  <c:v>Completed</c:v>
                </c:pt>
                <c:pt idx="1">
                  <c:v>InProgress</c:v>
                </c:pt>
                <c:pt idx="2">
                  <c:v>Overdue</c:v>
                </c:pt>
                <c:pt idx="3">
                  <c:v>Planned</c:v>
                </c:pt>
              </c:strCache>
            </c:strRef>
          </c:cat>
          <c:val>
            <c:numRef>
              <c:f>PivotSheet!$B$5:$B$8</c:f>
              <c:numCache>
                <c:formatCode>General</c:formatCode>
                <c:ptCount val="4"/>
                <c:pt idx="0">
                  <c:v>1</c:v>
                </c:pt>
                <c:pt idx="1">
                  <c:v>1</c:v>
                </c:pt>
                <c:pt idx="2">
                  <c:v>1</c:v>
                </c:pt>
                <c:pt idx="3">
                  <c:v>1</c:v>
                </c:pt>
              </c:numCache>
            </c:numRef>
          </c:val>
          <c:extLst>
            <c:ext xmlns:c16="http://schemas.microsoft.com/office/drawing/2014/chart" uri="{C3380CC4-5D6E-409C-BE32-E72D297353CC}">
              <c16:uniqueId val="{00000008-4D69-45B8-BE23-1083FC1339A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[Gantt_Excel_Pro_Daily_Free1.xlsm]PivotSheet!PT2</c:name>
    <c:fmtId val="10"/>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a:t>
            </a:r>
            <a:r>
              <a:rPr lang="en-US" sz="1000" baseline="0">
                <a:solidFill>
                  <a:schemeClr val="lt1"/>
                </a:solidFill>
                <a:latin typeface="+mn-lt"/>
                <a:ea typeface="+mn-ea"/>
                <a:cs typeface="+mn-cs"/>
              </a:rPr>
              <a:t> PRIORITY</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rgbClr val="FF5050"/>
          </a:solidFill>
          <a:ln w="19050">
            <a:solidFill>
              <a:schemeClr val="lt1"/>
            </a:solidFill>
          </a:ln>
          <a:effectLst/>
        </c:spPr>
      </c:pivotFmt>
      <c:pivotFmt>
        <c:idx val="7"/>
        <c:spPr>
          <a:solidFill>
            <a:srgbClr val="92D050"/>
          </a:solidFill>
          <a:ln w="19050">
            <a:solidFill>
              <a:schemeClr val="lt1"/>
            </a:solidFill>
          </a:ln>
          <a:effectLst/>
        </c:spPr>
      </c:pivotFmt>
      <c:pivotFmt>
        <c:idx val="8"/>
        <c:spPr>
          <a:solidFill>
            <a:srgbClr val="FFC000"/>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0"/>
        <c:spPr>
          <a:solidFill>
            <a:srgbClr val="FF5050"/>
          </a:solidFill>
          <a:ln w="19050">
            <a:solidFill>
              <a:schemeClr val="lt1"/>
            </a:solidFill>
          </a:ln>
          <a:effectLst/>
        </c:spPr>
      </c:pivotFmt>
      <c:pivotFmt>
        <c:idx val="11"/>
        <c:spPr>
          <a:solidFill>
            <a:srgbClr val="92D050"/>
          </a:solidFill>
          <a:ln w="19050">
            <a:solidFill>
              <a:schemeClr val="lt1"/>
            </a:solidFill>
          </a:ln>
          <a:effectLst/>
        </c:spPr>
      </c:pivotFmt>
      <c:pivotFmt>
        <c:idx val="12"/>
        <c:spPr>
          <a:solidFill>
            <a:srgbClr val="FFC000"/>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4"/>
        <c:spPr>
          <a:solidFill>
            <a:srgbClr val="FF5050"/>
          </a:solidFill>
          <a:ln w="19050">
            <a:solidFill>
              <a:schemeClr val="lt1"/>
            </a:solidFill>
          </a:ln>
          <a:effectLst/>
        </c:spPr>
      </c:pivotFmt>
      <c:pivotFmt>
        <c:idx val="15"/>
        <c:spPr>
          <a:solidFill>
            <a:srgbClr val="92D050"/>
          </a:solidFill>
          <a:ln w="19050">
            <a:solidFill>
              <a:schemeClr val="lt1"/>
            </a:solidFill>
          </a:ln>
          <a:effectLst/>
        </c:spPr>
      </c:pivotFmt>
      <c:pivotFmt>
        <c:idx val="16"/>
        <c:spPr>
          <a:solidFill>
            <a:srgbClr val="FFC000"/>
          </a:solidFill>
          <a:ln w="19050">
            <a:solidFill>
              <a:schemeClr val="lt1"/>
            </a:solidFill>
          </a:ln>
          <a:effectLst/>
        </c:spPr>
      </c:pivotFmt>
      <c:pivotFmt>
        <c:idx val="17"/>
        <c:spPr>
          <a:solidFill>
            <a:schemeClr val="accent1"/>
          </a:solidFill>
          <a:ln w="19050">
            <a:solidFill>
              <a:schemeClr val="lt1"/>
            </a:solidFill>
          </a:ln>
          <a:effectLst/>
        </c:spPr>
      </c:pivotFmt>
    </c:pivotFmts>
    <c:plotArea>
      <c:layout/>
      <c:doughnutChart>
        <c:varyColors val="1"/>
        <c:ser>
          <c:idx val="0"/>
          <c:order val="0"/>
          <c:tx>
            <c:strRef>
              <c:f>PivotSheet!$L$4</c:f>
              <c:strCache>
                <c:ptCount val="1"/>
                <c:pt idx="0">
                  <c:v>Total</c:v>
                </c:pt>
              </c:strCache>
            </c:strRef>
          </c:tx>
          <c:dPt>
            <c:idx val="0"/>
            <c:bubble3D val="0"/>
            <c:spPr>
              <a:solidFill>
                <a:srgbClr val="FF5050"/>
              </a:solidFill>
              <a:ln w="19050">
                <a:solidFill>
                  <a:schemeClr val="lt1"/>
                </a:solidFill>
              </a:ln>
              <a:effectLst/>
            </c:spPr>
            <c:extLst>
              <c:ext xmlns:c16="http://schemas.microsoft.com/office/drawing/2014/chart" uri="{C3380CC4-5D6E-409C-BE32-E72D297353CC}">
                <c16:uniqueId val="{00000001-E6E0-4E83-8510-B76807A75548}"/>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E6E0-4E83-8510-B76807A75548}"/>
              </c:ext>
            </c:extLst>
          </c:dPt>
          <c:dPt>
            <c:idx val="2"/>
            <c:bubble3D val="0"/>
            <c:spPr>
              <a:solidFill>
                <a:srgbClr val="FFC000"/>
              </a:solidFill>
              <a:ln w="19050">
                <a:solidFill>
                  <a:schemeClr val="lt1"/>
                </a:solidFill>
              </a:ln>
              <a:effectLst/>
            </c:spPr>
            <c:extLst>
              <c:ext xmlns:c16="http://schemas.microsoft.com/office/drawing/2014/chart" uri="{C3380CC4-5D6E-409C-BE32-E72D297353CC}">
                <c16:uniqueId val="{00000005-E6E0-4E83-8510-B76807A75548}"/>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PivotSheet!$K$5:$K$7</c:f>
              <c:strCache>
                <c:ptCount val="3"/>
                <c:pt idx="0">
                  <c:v>HIGH</c:v>
                </c:pt>
                <c:pt idx="1">
                  <c:v>LOW</c:v>
                </c:pt>
                <c:pt idx="2">
                  <c:v>NORMAL</c:v>
                </c:pt>
              </c:strCache>
            </c:strRef>
          </c:cat>
          <c:val>
            <c:numRef>
              <c:f>PivotSheet!$L$5:$L$7</c:f>
              <c:numCache>
                <c:formatCode>General</c:formatCode>
                <c:ptCount val="3"/>
                <c:pt idx="0">
                  <c:v>1</c:v>
                </c:pt>
                <c:pt idx="1">
                  <c:v>1</c:v>
                </c:pt>
                <c:pt idx="2">
                  <c:v>2</c:v>
                </c:pt>
              </c:numCache>
            </c:numRef>
          </c:val>
          <c:extLst>
            <c:ext xmlns:c16="http://schemas.microsoft.com/office/drawing/2014/chart" uri="{C3380CC4-5D6E-409C-BE32-E72D297353CC}">
              <c16:uniqueId val="{00000004-599A-4CE6-B5C8-CD5626369C6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[Gantt_Excel_Pro_Daily_Free1.xlsm]PivotSheet!PT3</c:name>
    <c:fmtId val="16"/>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TASKS -</a:t>
            </a:r>
            <a:r>
              <a:rPr lang="en-US" sz="1000" baseline="0">
                <a:solidFill>
                  <a:schemeClr val="lt1"/>
                </a:solidFill>
                <a:latin typeface="+mn-lt"/>
                <a:ea typeface="+mn-ea"/>
                <a:cs typeface="+mn-cs"/>
              </a:rPr>
              <a:t> COSTS</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dLbl>
          <c:idx val="0"/>
          <c:showLegendKey val="0"/>
          <c:showVal val="1"/>
          <c:showCatName val="1"/>
          <c:showSerName val="0"/>
          <c:showPercent val="0"/>
          <c:showBubbleSize val="0"/>
          <c:extLst>
            <c:ext xmlns:c15="http://schemas.microsoft.com/office/drawing/2012/chart" uri="{CE6537A1-D6FC-4f65-9D91-7224C49458BB}"/>
          </c:extLst>
        </c:dLbl>
      </c:pivotFmt>
      <c:pivotFmt>
        <c:idx val="1"/>
        <c:dLbl>
          <c:idx val="0"/>
          <c:showLegendKey val="0"/>
          <c:showVal val="1"/>
          <c:showCatName val="1"/>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a:scene3d>
            <a:camera prst="orthographicFront"/>
            <a:lightRig rig="threePt" dir="t"/>
          </a:scene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a:scene3d>
            <a:camera prst="orthographicFront"/>
            <a:lightRig rig="threePt" dir="t"/>
          </a:scene3d>
        </c:spPr>
      </c:pivotFmt>
      <c:pivotFmt>
        <c:idx val="6"/>
        <c:spPr>
          <a:solidFill>
            <a:schemeClr val="accent4"/>
          </a:solidFill>
          <a:ln>
            <a:noFill/>
          </a:ln>
          <a:effectLst/>
          <a:scene3d>
            <a:camera prst="orthographicFront"/>
            <a:lightRig rig="threePt" dir="t"/>
          </a:scene3d>
        </c:spPr>
      </c:pivotFmt>
      <c:pivotFmt>
        <c:idx val="7"/>
        <c:spPr>
          <a:solidFill>
            <a:schemeClr val="bg1">
              <a:lumMod val="50000"/>
            </a:schemeClr>
          </a:solidFill>
          <a:ln>
            <a:noFill/>
          </a:ln>
          <a:effectLst/>
          <a:scene3d>
            <a:camera prst="orthographicFront"/>
            <a:lightRig rig="threePt" dir="t"/>
          </a:scene3d>
        </c:spPr>
      </c:pivotFmt>
    </c:pivotFmts>
    <c:plotArea>
      <c:layout/>
      <c:barChart>
        <c:barDir val="bar"/>
        <c:grouping val="clustered"/>
        <c:varyColors val="0"/>
        <c:ser>
          <c:idx val="0"/>
          <c:order val="0"/>
          <c:tx>
            <c:strRef>
              <c:f>PivotSheet!$V$4</c:f>
              <c:strCache>
                <c:ptCount val="1"/>
                <c:pt idx="0">
                  <c:v>Total</c:v>
                </c:pt>
              </c:strCache>
            </c:strRef>
          </c:tx>
          <c:spPr>
            <a:solidFill>
              <a:schemeClr val="accent4"/>
            </a:solidFill>
            <a:ln>
              <a:noFill/>
            </a:ln>
            <a:effectLst/>
            <a:scene3d>
              <a:camera prst="orthographicFront"/>
              <a:lightRig rig="threePt" dir="t"/>
            </a:scene3d>
          </c:spPr>
          <c:invertIfNegative val="0"/>
          <c:dPt>
            <c:idx val="0"/>
            <c:invertIfNegative val="0"/>
            <c:bubble3D val="0"/>
            <c:spPr>
              <a:solidFill>
                <a:schemeClr val="bg1">
                  <a:lumMod val="50000"/>
                </a:schemeClr>
              </a:solidFill>
              <a:ln>
                <a:noFill/>
              </a:ln>
              <a:effectLst/>
              <a:scene3d>
                <a:camera prst="orthographicFront"/>
                <a:lightRig rig="threePt" dir="t"/>
              </a:scene3d>
            </c:spPr>
            <c:extLst>
              <c:ext xmlns:c16="http://schemas.microsoft.com/office/drawing/2014/chart" uri="{C3380CC4-5D6E-409C-BE32-E72D297353CC}">
                <c16:uniqueId val="{00000004-1D78-4AC3-AC30-7384DFA0F2CF}"/>
              </c:ext>
            </c:extLst>
          </c:dPt>
          <c:dPt>
            <c:idx val="1"/>
            <c:invertIfNegative val="0"/>
            <c:bubble3D val="0"/>
            <c:spPr>
              <a:solidFill>
                <a:srgbClr val="00B0F0"/>
              </a:solidFill>
              <a:ln>
                <a:noFill/>
              </a:ln>
              <a:effectLst/>
              <a:scene3d>
                <a:camera prst="orthographicFront"/>
                <a:lightRig rig="threePt" dir="t"/>
              </a:scene3d>
            </c:spPr>
            <c:extLst>
              <c:ext xmlns:c16="http://schemas.microsoft.com/office/drawing/2014/chart" uri="{C3380CC4-5D6E-409C-BE32-E72D297353CC}">
                <c16:uniqueId val="{00000002-1D78-4AC3-AC30-7384DFA0F2CF}"/>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PivotSheet!$U$5:$U$7</c:f>
              <c:strCache>
                <c:ptCount val="3"/>
                <c:pt idx="0">
                  <c:v>Baseline Cost</c:v>
                </c:pt>
                <c:pt idx="1">
                  <c:v>Estimated Cost</c:v>
                </c:pt>
                <c:pt idx="2">
                  <c:v>Actual Cost</c:v>
                </c:pt>
              </c:strCache>
            </c:strRef>
          </c:cat>
          <c:val>
            <c:numRef>
              <c:f>PivotSheet!$V$5:$V$7</c:f>
              <c:numCache>
                <c:formatCode>"$"\ #,##0</c:formatCode>
                <c:ptCount val="3"/>
              </c:numCache>
            </c:numRef>
          </c:val>
          <c:extLst>
            <c:ext xmlns:c16="http://schemas.microsoft.com/office/drawing/2014/chart" uri="{C3380CC4-5D6E-409C-BE32-E72D297353CC}">
              <c16:uniqueId val="{00000000-1D78-4AC3-AC30-7384DFA0F2CF}"/>
            </c:ext>
          </c:extLst>
        </c:ser>
        <c:dLbls>
          <c:showLegendKey val="0"/>
          <c:showVal val="0"/>
          <c:showCatName val="0"/>
          <c:showSerName val="0"/>
          <c:showPercent val="0"/>
          <c:showBubbleSize val="0"/>
        </c:dLbls>
        <c:gapWidth val="150"/>
        <c:axId val="430710176"/>
        <c:axId val="704161712"/>
      </c:barChart>
      <c:catAx>
        <c:axId val="4307101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4161712"/>
        <c:crosses val="autoZero"/>
        <c:auto val="1"/>
        <c:lblAlgn val="ctr"/>
        <c:lblOffset val="100"/>
        <c:noMultiLvlLbl val="0"/>
      </c:catAx>
      <c:valAx>
        <c:axId val="704161712"/>
        <c:scaling>
          <c:orientation val="minMax"/>
        </c:scaling>
        <c:delete val="1"/>
        <c:axPos val="b"/>
        <c:numFmt formatCode="&quot;$&quot;\ #,##0" sourceLinked="1"/>
        <c:majorTickMark val="none"/>
        <c:minorTickMark val="none"/>
        <c:tickLblPos val="nextTo"/>
        <c:crossAx val="4307101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www.ganttexcel.com/?utm_source=xlcustlogo&amp;utm_medium=customer" TargetMode="External"/></Relationships>
</file>

<file path=xl/drawings/drawing1.xml><?xml version="1.0" encoding="utf-8"?>
<xdr:wsDr xmlns:xdr="http://schemas.openxmlformats.org/drawingml/2006/spreadsheetDrawing" xmlns:a="http://schemas.openxmlformats.org/drawingml/2006/main">
  <xdr:twoCellAnchor>
    <xdr:from>
      <xdr:col>1</xdr:col>
      <xdr:colOff>333375</xdr:colOff>
      <xdr:row>5</xdr:row>
      <xdr:rowOff>85726</xdr:rowOff>
    </xdr:from>
    <xdr:to>
      <xdr:col>7</xdr:col>
      <xdr:colOff>9525</xdr:colOff>
      <xdr:row>12</xdr:row>
      <xdr:rowOff>104776</xdr:rowOff>
    </xdr:to>
    <xdr:sp macro="" textlink="">
      <xdr:nvSpPr>
        <xdr:cNvPr id="2" name="Notice2">
          <a:extLst>
            <a:ext uri="{FF2B5EF4-FFF2-40B4-BE49-F238E27FC236}">
              <a16:creationId xmlns:a16="http://schemas.microsoft.com/office/drawing/2014/main" id="{00000000-0008-0000-0000-000002000000}"/>
            </a:ext>
          </a:extLst>
        </xdr:cNvPr>
        <xdr:cNvSpPr/>
      </xdr:nvSpPr>
      <xdr:spPr>
        <a:xfrm>
          <a:off x="1190625" y="1038226"/>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100-000002000000}"/>
            </a:ext>
          </a:extLst>
        </xdr:cNvPr>
        <xdr:cNvSpPr/>
      </xdr:nvSpPr>
      <xdr:spPr>
        <a:xfrm>
          <a:off x="695325" y="1495425"/>
          <a:ext cx="5324475" cy="157162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3.xml><?xml version="1.0" encoding="utf-8"?>
<xdr:wsDr xmlns:xdr="http://schemas.openxmlformats.org/drawingml/2006/spreadsheetDrawing" xmlns:a="http://schemas.openxmlformats.org/drawingml/2006/main">
  <xdr:absoluteAnchor>
    <xdr:pos x="0" y="437773"/>
    <xdr:ext cx="2286000" cy="2286000"/>
    <xdr:graphicFrame macro="">
      <xdr:nvGraphicFramePr>
        <xdr:cNvPr id="2" name="chrt_ProjectProgress">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231637" y="3058419"/>
    <xdr:ext cx="914400" cy="365760"/>
    <xdr:sp macro="" textlink="">
      <xdr:nvSpPr>
        <xdr:cNvPr id="3" name="EstimatedBudget">
          <a:extLst>
            <a:ext uri="{FF2B5EF4-FFF2-40B4-BE49-F238E27FC236}">
              <a16:creationId xmlns:a16="http://schemas.microsoft.com/office/drawing/2014/main" id="{00000000-0008-0000-0200-000003000000}"/>
            </a:ext>
          </a:extLst>
        </xdr:cNvPr>
        <xdr:cNvSpPr/>
      </xdr:nvSpPr>
      <xdr:spPr>
        <a:xfrm>
          <a:off x="231637" y="3058419"/>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ESTIMATED BUDGET</a:t>
          </a:r>
        </a:p>
      </xdr:txBody>
    </xdr:sp>
    <xdr:clientData/>
  </xdr:absoluteAnchor>
  <xdr:absoluteAnchor>
    <xdr:pos x="1146037" y="3058419"/>
    <xdr:ext cx="1463040" cy="365760"/>
    <xdr:sp macro="" textlink="$AS$2">
      <xdr:nvSpPr>
        <xdr:cNvPr id="21" name="EstimatedBudget">
          <a:extLst>
            <a:ext uri="{FF2B5EF4-FFF2-40B4-BE49-F238E27FC236}">
              <a16:creationId xmlns:a16="http://schemas.microsoft.com/office/drawing/2014/main" id="{00000000-0008-0000-0200-000015000000}"/>
            </a:ext>
          </a:extLst>
        </xdr:cNvPr>
        <xdr:cNvSpPr/>
      </xdr:nvSpPr>
      <xdr:spPr>
        <a:xfrm>
          <a:off x="1146037" y="3058419"/>
          <a:ext cx="1463040" cy="365760"/>
        </a:xfrm>
        <a:prstGeom prst="rect">
          <a:avLst/>
        </a:prstGeom>
        <a:solidFill>
          <a:srgbClr val="57D3FF"/>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5E0A87CC-CC3C-40E7-B128-89605F0C0F66}"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$ 1000</a:t>
          </a:fld>
          <a:endParaRPr lang="en-IN"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2612887" y="3429894"/>
    <xdr:ext cx="1463040" cy="365760"/>
    <xdr:sp macro="" textlink="$AT$2">
      <xdr:nvSpPr>
        <xdr:cNvPr id="24" name="EstimatedBudget">
          <a:extLst>
            <a:ext uri="{FF2B5EF4-FFF2-40B4-BE49-F238E27FC236}">
              <a16:creationId xmlns:a16="http://schemas.microsoft.com/office/drawing/2014/main" id="{00000000-0008-0000-0200-000018000000}"/>
            </a:ext>
          </a:extLst>
        </xdr:cNvPr>
        <xdr:cNvSpPr/>
      </xdr:nvSpPr>
      <xdr:spPr>
        <a:xfrm>
          <a:off x="2612887" y="3429894"/>
          <a:ext cx="1463040" cy="365760"/>
        </a:xfrm>
        <a:prstGeom prst="rect">
          <a:avLst/>
        </a:prstGeom>
        <a:solidFill>
          <a:schemeClr val="accent4"/>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E699BC73-BF65-4A8A-AF1E-30AAEC1BEADE}"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$ 500</a:t>
          </a:fld>
          <a:endParaRPr lang="en-US"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1696107" y="3429894"/>
    <xdr:ext cx="914400" cy="365760"/>
    <xdr:sp macro="" textlink="">
      <xdr:nvSpPr>
        <xdr:cNvPr id="25" name="EstimatedBudget">
          <a:extLst>
            <a:ext uri="{FF2B5EF4-FFF2-40B4-BE49-F238E27FC236}">
              <a16:creationId xmlns:a16="http://schemas.microsoft.com/office/drawing/2014/main" id="{00000000-0008-0000-0200-000019000000}"/>
            </a:ext>
          </a:extLst>
        </xdr:cNvPr>
        <xdr:cNvSpPr/>
      </xdr:nvSpPr>
      <xdr:spPr>
        <a:xfrm>
          <a:off x="1696107" y="3429894"/>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ACTUAL</a:t>
          </a:r>
          <a:br>
            <a:rPr lang="en-US" sz="800" b="1">
              <a:solidFill>
                <a:schemeClr val="bg1"/>
              </a:solidFill>
            </a:rPr>
          </a:br>
          <a:r>
            <a:rPr lang="en-US" sz="800" b="1">
              <a:solidFill>
                <a:schemeClr val="bg1"/>
              </a:solidFill>
            </a:rPr>
            <a:t>COST</a:t>
          </a:r>
        </a:p>
      </xdr:txBody>
    </xdr:sp>
    <xdr:clientData/>
  </xdr:absoluteAnchor>
  <xdr:absoluteAnchor>
    <xdr:pos x="589894" y="1464242"/>
    <xdr:ext cx="1085850" cy="345836"/>
    <xdr:sp macro="" textlink="$AX$2">
      <xdr:nvSpPr>
        <xdr:cNvPr id="18" name="BC">
          <a:extLst>
            <a:ext uri="{FF2B5EF4-FFF2-40B4-BE49-F238E27FC236}">
              <a16:creationId xmlns:a16="http://schemas.microsoft.com/office/drawing/2014/main" id="{00000000-0008-0000-0200-000012000000}"/>
            </a:ext>
          </a:extLst>
        </xdr:cNvPr>
        <xdr:cNvSpPr/>
      </xdr:nvSpPr>
      <xdr:spPr>
        <a:xfrm>
          <a:off x="589894" y="1464242"/>
          <a:ext cx="1085850" cy="345836"/>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fld id="{C71B8E82-EED3-4ABF-88F4-91CAC87EB43F}" type="TxLink">
            <a:rPr lang="en-US" sz="1600" b="0" i="0" u="none" strike="noStrike">
              <a:solidFill>
                <a:schemeClr val="tx1"/>
              </a:solidFill>
              <a:latin typeface="Calibri"/>
              <a:cs typeface="Calibri"/>
            </a:rPr>
            <a:pPr algn="ctr"/>
            <a:t>50%</a:t>
          </a:fld>
          <a:endParaRPr lang="en-IN" sz="1600" b="0">
            <a:solidFill>
              <a:schemeClr val="tx1"/>
            </a:solidFill>
          </a:endParaRPr>
        </a:p>
      </xdr:txBody>
    </xdr:sp>
    <xdr:clientData/>
  </xdr:absoluteAnchor>
  <mc:AlternateContent xmlns:mc="http://schemas.openxmlformats.org/markup-compatibility/2006">
    <mc:Choice xmlns:a14="http://schemas.microsoft.com/office/drawing/2010/main" Requires="a14">
      <xdr:twoCellAnchor editAs="absolute">
        <xdr:from>
          <xdr:col>5</xdr:col>
          <xdr:colOff>144780</xdr:colOff>
          <xdr:row>1</xdr:row>
          <xdr:rowOff>22860</xdr:rowOff>
        </xdr:from>
        <xdr:to>
          <xdr:col>5</xdr:col>
          <xdr:colOff>678180</xdr:colOff>
          <xdr:row>1</xdr:row>
          <xdr:rowOff>228600</xdr:rowOff>
        </xdr:to>
        <xdr:sp macro="" textlink="">
          <xdr:nvSpPr>
            <xdr:cNvPr id="2049" name="btnRefreshDashboard"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twoCellAnchor>
    <xdr:from>
      <xdr:col>6</xdr:col>
      <xdr:colOff>492672</xdr:colOff>
      <xdr:row>10</xdr:row>
      <xdr:rowOff>152400</xdr:rowOff>
    </xdr:from>
    <xdr:to>
      <xdr:col>9</xdr:col>
      <xdr:colOff>549822</xdr:colOff>
      <xdr:row>27</xdr:row>
      <xdr:rowOff>107731</xdr:rowOff>
    </xdr:to>
    <xdr:graphicFrame macro="">
      <xdr:nvGraphicFramePr>
        <xdr:cNvPr id="28" name="chTaskStatus">
          <a:extLst>
            <a:ext uri="{FF2B5EF4-FFF2-40B4-BE49-F238E27FC236}">
              <a16:creationId xmlns:a16="http://schemas.microsoft.com/office/drawing/2014/main" id="{00000000-0008-0000-02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90738</xdr:colOff>
      <xdr:row>12</xdr:row>
      <xdr:rowOff>171951</xdr:rowOff>
    </xdr:from>
    <xdr:to>
      <xdr:col>6</xdr:col>
      <xdr:colOff>414588</xdr:colOff>
      <xdr:row>19</xdr:row>
      <xdr:rowOff>17646</xdr:rowOff>
    </xdr:to>
    <mc:AlternateContent xmlns:mc="http://schemas.openxmlformats.org/markup-compatibility/2006" xmlns:a14="http://schemas.microsoft.com/office/drawing/2010/main">
      <mc:Choice Requires="a14">
        <xdr:graphicFrame macro="">
          <xdr:nvGraphicFramePr>
            <xdr:cNvPr id="29" name="Priority">
              <a:extLst>
                <a:ext uri="{FF2B5EF4-FFF2-40B4-BE49-F238E27FC236}">
                  <a16:creationId xmlns:a16="http://schemas.microsoft.com/office/drawing/2014/main" id="{00000000-0008-0000-0200-00001D000000}"/>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4348413" y="2410326"/>
              <a:ext cx="13716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638069</xdr:colOff>
      <xdr:row>10</xdr:row>
      <xdr:rowOff>155124</xdr:rowOff>
    </xdr:from>
    <xdr:to>
      <xdr:col>12</xdr:col>
      <xdr:colOff>695219</xdr:colOff>
      <xdr:row>27</xdr:row>
      <xdr:rowOff>110455</xdr:rowOff>
    </xdr:to>
    <xdr:graphicFrame macro="">
      <xdr:nvGraphicFramePr>
        <xdr:cNvPr id="30" name="Chart 29">
          <a:extLst>
            <a:ext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95249</xdr:colOff>
      <xdr:row>3</xdr:row>
      <xdr:rowOff>9525</xdr:rowOff>
    </xdr:from>
    <xdr:to>
      <xdr:col>6</xdr:col>
      <xdr:colOff>419099</xdr:colOff>
      <xdr:row>12</xdr:row>
      <xdr:rowOff>123825</xdr:rowOff>
    </xdr:to>
    <mc:AlternateContent xmlns:mc="http://schemas.openxmlformats.org/markup-compatibility/2006" xmlns:a14="http://schemas.microsoft.com/office/drawing/2010/main">
      <mc:Choice Requires="a14">
        <xdr:graphicFrame macro="">
          <xdr:nvGraphicFramePr>
            <xdr:cNvPr id="31" name="Status">
              <a:extLst>
                <a:ext uri="{FF2B5EF4-FFF2-40B4-BE49-F238E27FC236}">
                  <a16:creationId xmlns:a16="http://schemas.microsoft.com/office/drawing/2014/main" id="{00000000-0008-0000-0200-00001F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4352924" y="533400"/>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495630</xdr:colOff>
      <xdr:row>28</xdr:row>
      <xdr:rowOff>9853</xdr:rowOff>
    </xdr:from>
    <xdr:to>
      <xdr:col>12</xdr:col>
      <xdr:colOff>692818</xdr:colOff>
      <xdr:row>37</xdr:row>
      <xdr:rowOff>114300</xdr:rowOff>
    </xdr:to>
    <xdr:graphicFrame macro="">
      <xdr:nvGraphicFramePr>
        <xdr:cNvPr id="32" name="Chart 31">
          <a:extLst>
            <a:ext uri="{FF2B5EF4-FFF2-40B4-BE49-F238E27FC236}">
              <a16:creationId xmlns:a16="http://schemas.microsoft.com/office/drawing/2014/main" id="{00000000-0008-0000-02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absoluteAnchor>
    <xdr:pos x="977464" y="1667880"/>
    <xdr:ext cx="1085850" cy="237119"/>
    <xdr:sp macro="" textlink="">
      <xdr:nvSpPr>
        <xdr:cNvPr id="17" name="BC">
          <a:extLst>
            <a:ext uri="{FF2B5EF4-FFF2-40B4-BE49-F238E27FC236}">
              <a16:creationId xmlns:a16="http://schemas.microsoft.com/office/drawing/2014/main" id="{00000000-0008-0000-0200-000011000000}"/>
            </a:ext>
          </a:extLst>
        </xdr:cNvPr>
        <xdr:cNvSpPr/>
      </xdr:nvSpPr>
      <xdr:spPr>
        <a:xfrm>
          <a:off x="977464" y="1667880"/>
          <a:ext cx="1085850" cy="237119"/>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1000" b="0" i="0" u="none" strike="noStrike">
              <a:solidFill>
                <a:sysClr val="windowText" lastClr="000000"/>
              </a:solidFill>
              <a:latin typeface="Calibri"/>
              <a:cs typeface="Calibri"/>
            </a:rPr>
            <a:t>COMPLETE</a:t>
          </a:r>
        </a:p>
      </xdr:txBody>
    </xdr:sp>
    <xdr:clientData/>
  </xdr:absoluteAnchor>
  <xdr:twoCellAnchor editAs="oneCell">
    <xdr:from>
      <xdr:col>6</xdr:col>
      <xdr:colOff>492292</xdr:colOff>
      <xdr:row>3</xdr:row>
      <xdr:rowOff>5014</xdr:rowOff>
    </xdr:from>
    <xdr:to>
      <xdr:col>12</xdr:col>
      <xdr:colOff>682792</xdr:colOff>
      <xdr:row>10</xdr:row>
      <xdr:rowOff>57150</xdr:rowOff>
    </xdr:to>
    <mc:AlternateContent xmlns:mc="http://schemas.openxmlformats.org/markup-compatibility/2006" xmlns:tsle="http://schemas.microsoft.com/office/drawing/2012/timeslicer">
      <mc:Choice Requires="tsle">
        <xdr:graphicFrame macro="">
          <xdr:nvGraphicFramePr>
            <xdr:cNvPr id="19" name="EED 2">
              <a:extLst>
                <a:ext uri="{FF2B5EF4-FFF2-40B4-BE49-F238E27FC236}">
                  <a16:creationId xmlns:a16="http://schemas.microsoft.com/office/drawing/2014/main" id="{00000000-0008-0000-0200-000013000000}"/>
                </a:ext>
              </a:extLst>
            </xdr:cNvPr>
            <xdr:cNvGraphicFramePr/>
          </xdr:nvGraphicFramePr>
          <xdr:xfrm>
            <a:off x="0" y="0"/>
            <a:ext cx="0" cy="0"/>
          </xdr:xfrm>
          <a:graphic>
            <a:graphicData uri="http://schemas.microsoft.com/office/drawing/2012/timeslicer">
              <tsle:timeslicer name="EED 2"/>
            </a:graphicData>
          </a:graphic>
        </xdr:graphicFrame>
      </mc:Choice>
      <mc:Fallback xmlns="">
        <xdr:sp macro="" textlink="">
          <xdr:nvSpPr>
            <xdr:cNvPr id="0" name=""/>
            <xdr:cNvSpPr>
              <a:spLocks noTextEdit="1"/>
            </xdr:cNvSpPr>
          </xdr:nvSpPr>
          <xdr:spPr>
            <a:xfrm>
              <a:off x="5797717" y="528889"/>
              <a:ext cx="6477000" cy="138563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5</xdr:col>
      <xdr:colOff>95250</xdr:colOff>
      <xdr:row>19</xdr:row>
      <xdr:rowOff>85725</xdr:rowOff>
    </xdr:from>
    <xdr:to>
      <xdr:col>6</xdr:col>
      <xdr:colOff>419100</xdr:colOff>
      <xdr:row>37</xdr:row>
      <xdr:rowOff>114300</xdr:rowOff>
    </xdr:to>
    <mc:AlternateContent xmlns:mc="http://schemas.openxmlformats.org/markup-compatibility/2006" xmlns:a14="http://schemas.microsoft.com/office/drawing/2010/main">
      <mc:Choice Requires="a14">
        <xdr:graphicFrame macro="">
          <xdr:nvGraphicFramePr>
            <xdr:cNvPr id="20" name="Resource">
              <a:extLst>
                <a:ext uri="{FF2B5EF4-FFF2-40B4-BE49-F238E27FC236}">
                  <a16:creationId xmlns:a16="http://schemas.microsoft.com/office/drawing/2014/main" id="{00000000-0008-0000-0200-000014000000}"/>
                </a:ext>
              </a:extLst>
            </xdr:cNvPr>
            <xdr:cNvGraphicFramePr/>
          </xdr:nvGraphicFramePr>
          <xdr:xfrm>
            <a:off x="0" y="0"/>
            <a:ext cx="0" cy="0"/>
          </xdr:xfrm>
          <a:graphic>
            <a:graphicData uri="http://schemas.microsoft.com/office/drawing/2010/slicer">
              <sle:slicer xmlns:sle="http://schemas.microsoft.com/office/drawing/2010/slicer" name="Resource"/>
            </a:graphicData>
          </a:graphic>
        </xdr:graphicFrame>
      </mc:Choice>
      <mc:Fallback xmlns="">
        <xdr:sp macro="" textlink="">
          <xdr:nvSpPr>
            <xdr:cNvPr id="0" name=""/>
            <xdr:cNvSpPr>
              <a:spLocks noTextEdit="1"/>
            </xdr:cNvSpPr>
          </xdr:nvSpPr>
          <xdr:spPr>
            <a:xfrm>
              <a:off x="4352925" y="3667125"/>
              <a:ext cx="1371600" cy="3457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9525</xdr:colOff>
      <xdr:row>39</xdr:row>
      <xdr:rowOff>180975</xdr:rowOff>
    </xdr:from>
    <xdr:to>
      <xdr:col>8</xdr:col>
      <xdr:colOff>95250</xdr:colOff>
      <xdr:row>47</xdr:row>
      <xdr:rowOff>9525</xdr:rowOff>
    </xdr:to>
    <xdr:sp macro="" textlink="">
      <xdr:nvSpPr>
        <xdr:cNvPr id="22" name="Notice4">
          <a:extLst>
            <a:ext uri="{FF2B5EF4-FFF2-40B4-BE49-F238E27FC236}">
              <a16:creationId xmlns:a16="http://schemas.microsoft.com/office/drawing/2014/main" id="{00000000-0008-0000-0200-000016000000}"/>
            </a:ext>
          </a:extLst>
        </xdr:cNvPr>
        <xdr:cNvSpPr/>
      </xdr:nvSpPr>
      <xdr:spPr>
        <a:xfrm>
          <a:off x="2171700" y="763905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12</xdr:row>
      <xdr:rowOff>0</xdr:rowOff>
    </xdr:from>
    <xdr:to>
      <xdr:col>10</xdr:col>
      <xdr:colOff>790575</xdr:colOff>
      <xdr:row>19</xdr:row>
      <xdr:rowOff>19050</xdr:rowOff>
    </xdr:to>
    <xdr:sp macro="" textlink="">
      <xdr:nvSpPr>
        <xdr:cNvPr id="2" name="Notice3">
          <a:extLst>
            <a:ext uri="{FF2B5EF4-FFF2-40B4-BE49-F238E27FC236}">
              <a16:creationId xmlns:a16="http://schemas.microsoft.com/office/drawing/2014/main" id="{00000000-0008-0000-0300-000002000000}"/>
            </a:ext>
          </a:extLst>
        </xdr:cNvPr>
        <xdr:cNvSpPr/>
      </xdr:nvSpPr>
      <xdr:spPr>
        <a:xfrm>
          <a:off x="2676525" y="228600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56</xdr:col>
      <xdr:colOff>0</xdr:colOff>
      <xdr:row>5</xdr:row>
      <xdr:rowOff>50800</xdr:rowOff>
    </xdr:from>
    <xdr:to>
      <xdr:col>57</xdr:col>
      <xdr:colOff>732790</xdr:colOff>
      <xdr:row>6</xdr:row>
      <xdr:rowOff>0</xdr:rowOff>
    </xdr:to>
    <xdr:sp macro="" textlink="">
      <xdr:nvSpPr>
        <xdr:cNvPr id="92" name="S_Mo_11/29/2021">
          <a:extLst>
            <a:ext uri="{FF2B5EF4-FFF2-40B4-BE49-F238E27FC236}">
              <a16:creationId xmlns:a16="http://schemas.microsoft.com/office/drawing/2014/main" id="{386071DB-E814-4476-9736-D3AE2B9AC33F}"/>
            </a:ext>
          </a:extLst>
        </xdr:cNvPr>
        <xdr:cNvSpPr/>
      </xdr:nvSpPr>
      <xdr:spPr>
        <a:xfrm>
          <a:off x="9799320" y="50800"/>
          <a:ext cx="1471930" cy="254000"/>
        </a:xfrm>
        <a:prstGeom prst="round2SameRect">
          <a:avLst/>
        </a:prstGeom>
        <a:solidFill>
          <a:srgbClr val="FFFF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a:solidFill>
                <a:srgbClr val="4472C4"/>
              </a:solidFill>
            </a:rPr>
            <a:t>November-2021</a:t>
          </a:r>
        </a:p>
      </xdr:txBody>
    </xdr:sp>
    <xdr:clientData/>
  </xdr:twoCellAnchor>
  <xdr:twoCellAnchor>
    <xdr:from>
      <xdr:col>58</xdr:col>
      <xdr:colOff>0</xdr:colOff>
      <xdr:row>5</xdr:row>
      <xdr:rowOff>50800</xdr:rowOff>
    </xdr:from>
    <xdr:to>
      <xdr:col>88</xdr:col>
      <xdr:colOff>732789</xdr:colOff>
      <xdr:row>6</xdr:row>
      <xdr:rowOff>0</xdr:rowOff>
    </xdr:to>
    <xdr:sp macro="" textlink="">
      <xdr:nvSpPr>
        <xdr:cNvPr id="93" name="S_Mo_12/1/2021">
          <a:extLst>
            <a:ext uri="{FF2B5EF4-FFF2-40B4-BE49-F238E27FC236}">
              <a16:creationId xmlns:a16="http://schemas.microsoft.com/office/drawing/2014/main" id="{EF0CB411-4CB5-4E16-96BD-53EF216FCAAF}"/>
            </a:ext>
          </a:extLst>
        </xdr:cNvPr>
        <xdr:cNvSpPr/>
      </xdr:nvSpPr>
      <xdr:spPr>
        <a:xfrm>
          <a:off x="11277600" y="50800"/>
          <a:ext cx="22906989" cy="254000"/>
        </a:xfrm>
        <a:prstGeom prst="round2SameRect">
          <a:avLst/>
        </a:prstGeom>
        <a:solidFill>
          <a:srgbClr val="FFFF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a:solidFill>
                <a:srgbClr val="4472C4"/>
              </a:solidFill>
            </a:rPr>
            <a:t>December-2021</a:t>
          </a:r>
        </a:p>
      </xdr:txBody>
    </xdr:sp>
    <xdr:clientData/>
  </xdr:twoCellAnchor>
  <xdr:twoCellAnchor>
    <xdr:from>
      <xdr:col>88</xdr:col>
      <xdr:colOff>739139</xdr:colOff>
      <xdr:row>5</xdr:row>
      <xdr:rowOff>50800</xdr:rowOff>
    </xdr:from>
    <xdr:to>
      <xdr:col>119</xdr:col>
      <xdr:colOff>732789</xdr:colOff>
      <xdr:row>6</xdr:row>
      <xdr:rowOff>0</xdr:rowOff>
    </xdr:to>
    <xdr:sp macro="" textlink="">
      <xdr:nvSpPr>
        <xdr:cNvPr id="94" name="S_Mo_1/1/2022">
          <a:extLst>
            <a:ext uri="{FF2B5EF4-FFF2-40B4-BE49-F238E27FC236}">
              <a16:creationId xmlns:a16="http://schemas.microsoft.com/office/drawing/2014/main" id="{94F8E69F-B004-47A6-924C-A2359C5F4E11}"/>
            </a:ext>
          </a:extLst>
        </xdr:cNvPr>
        <xdr:cNvSpPr/>
      </xdr:nvSpPr>
      <xdr:spPr>
        <a:xfrm>
          <a:off x="34190939" y="50800"/>
          <a:ext cx="22906990" cy="254000"/>
        </a:xfrm>
        <a:prstGeom prst="round2SameRect">
          <a:avLst/>
        </a:prstGeom>
        <a:solidFill>
          <a:srgbClr val="FFFF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a:solidFill>
                <a:srgbClr val="4472C4"/>
              </a:solidFill>
            </a:rPr>
            <a:t>January-2022</a:t>
          </a:r>
        </a:p>
      </xdr:txBody>
    </xdr:sp>
    <xdr:clientData/>
  </xdr:twoCellAnchor>
  <xdr:twoCellAnchor>
    <xdr:from>
      <xdr:col>56</xdr:col>
      <xdr:colOff>12700</xdr:colOff>
      <xdr:row>15</xdr:row>
      <xdr:rowOff>38862</xdr:rowOff>
    </xdr:from>
    <xdr:to>
      <xdr:col>71</xdr:col>
      <xdr:colOff>246380</xdr:colOff>
      <xdr:row>15</xdr:row>
      <xdr:rowOff>189738</xdr:rowOff>
    </xdr:to>
    <xdr:sp macro="" textlink="">
      <xdr:nvSpPr>
        <xdr:cNvPr id="95" name="S_TE_7">
          <a:extLst>
            <a:ext uri="{FF2B5EF4-FFF2-40B4-BE49-F238E27FC236}">
              <a16:creationId xmlns:a16="http://schemas.microsoft.com/office/drawing/2014/main" id="{4F9086A5-5DF7-4A3B-A112-FBCA2A12FEA4}"/>
            </a:ext>
          </a:extLst>
        </xdr:cNvPr>
        <xdr:cNvSpPr/>
      </xdr:nvSpPr>
      <xdr:spPr>
        <a:xfrm>
          <a:off x="9812020" y="2385822"/>
          <a:ext cx="4119880" cy="150876"/>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72</xdr:col>
      <xdr:colOff>12700</xdr:colOff>
      <xdr:row>16</xdr:row>
      <xdr:rowOff>38862</xdr:rowOff>
    </xdr:from>
    <xdr:to>
      <xdr:col>90</xdr:col>
      <xdr:colOff>246380</xdr:colOff>
      <xdr:row>16</xdr:row>
      <xdr:rowOff>189738</xdr:rowOff>
    </xdr:to>
    <xdr:sp macro="" textlink="">
      <xdr:nvSpPr>
        <xdr:cNvPr id="97" name="S_TE_8">
          <a:extLst>
            <a:ext uri="{FF2B5EF4-FFF2-40B4-BE49-F238E27FC236}">
              <a16:creationId xmlns:a16="http://schemas.microsoft.com/office/drawing/2014/main" id="{51BECC03-FA9B-4551-A74A-221474FE275A}"/>
            </a:ext>
          </a:extLst>
        </xdr:cNvPr>
        <xdr:cNvSpPr/>
      </xdr:nvSpPr>
      <xdr:spPr>
        <a:xfrm>
          <a:off x="13957300" y="2614422"/>
          <a:ext cx="4897120" cy="150876"/>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79</xdr:col>
      <xdr:colOff>12701</xdr:colOff>
      <xdr:row>17</xdr:row>
      <xdr:rowOff>38862</xdr:rowOff>
    </xdr:from>
    <xdr:to>
      <xdr:col>90</xdr:col>
      <xdr:colOff>246381</xdr:colOff>
      <xdr:row>17</xdr:row>
      <xdr:rowOff>189738</xdr:rowOff>
    </xdr:to>
    <xdr:sp macro="" textlink="">
      <xdr:nvSpPr>
        <xdr:cNvPr id="98" name="S_TE_9">
          <a:extLst>
            <a:ext uri="{FF2B5EF4-FFF2-40B4-BE49-F238E27FC236}">
              <a16:creationId xmlns:a16="http://schemas.microsoft.com/office/drawing/2014/main" id="{5F4FED4C-6EBF-4558-A59B-D3AEC88F8249}"/>
            </a:ext>
          </a:extLst>
        </xdr:cNvPr>
        <xdr:cNvSpPr/>
      </xdr:nvSpPr>
      <xdr:spPr>
        <a:xfrm>
          <a:off x="15770861" y="2843022"/>
          <a:ext cx="3083560" cy="150876"/>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56</xdr:col>
      <xdr:colOff>12700</xdr:colOff>
      <xdr:row>15</xdr:row>
      <xdr:rowOff>38862</xdr:rowOff>
    </xdr:from>
    <xdr:to>
      <xdr:col>61</xdr:col>
      <xdr:colOff>246380</xdr:colOff>
      <xdr:row>15</xdr:row>
      <xdr:rowOff>189738</xdr:rowOff>
    </xdr:to>
    <xdr:sp macro="" textlink="">
      <xdr:nvSpPr>
        <xdr:cNvPr id="96" name="S_TP_7">
          <a:extLst>
            <a:ext uri="{FF2B5EF4-FFF2-40B4-BE49-F238E27FC236}">
              <a16:creationId xmlns:a16="http://schemas.microsoft.com/office/drawing/2014/main" id="{DC147222-798B-4083-ACE2-BF5433925D32}"/>
            </a:ext>
          </a:extLst>
        </xdr:cNvPr>
        <xdr:cNvSpPr/>
      </xdr:nvSpPr>
      <xdr:spPr>
        <a:xfrm>
          <a:off x="9812020" y="2385822"/>
          <a:ext cx="1529080" cy="150876"/>
        </a:xfrm>
        <a:prstGeom prst="rect">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56</xdr:col>
      <xdr:colOff>25400</xdr:colOff>
      <xdr:row>15</xdr:row>
      <xdr:rowOff>38862</xdr:rowOff>
    </xdr:from>
    <xdr:to>
      <xdr:col>70</xdr:col>
      <xdr:colOff>208280</xdr:colOff>
      <xdr:row>15</xdr:row>
      <xdr:rowOff>189738</xdr:rowOff>
    </xdr:to>
    <xdr:sp macro="" textlink="">
      <xdr:nvSpPr>
        <xdr:cNvPr id="99" name="S_TGB_7">
          <a:extLst>
            <a:ext uri="{FF2B5EF4-FFF2-40B4-BE49-F238E27FC236}">
              <a16:creationId xmlns:a16="http://schemas.microsoft.com/office/drawing/2014/main" id="{90FCF14C-760E-423B-9317-A225AD5C82AE}"/>
            </a:ext>
          </a:extLst>
        </xdr:cNvPr>
        <xdr:cNvSpPr/>
      </xdr:nvSpPr>
      <xdr:spPr>
        <a:xfrm>
          <a:off x="9824720" y="238582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Self Study Period</a:t>
          </a:r>
        </a:p>
      </xdr:txBody>
    </xdr:sp>
    <xdr:clientData/>
  </xdr:twoCellAnchor>
  <xdr:twoCellAnchor>
    <xdr:from>
      <xdr:col>72</xdr:col>
      <xdr:colOff>25400</xdr:colOff>
      <xdr:row>16</xdr:row>
      <xdr:rowOff>38862</xdr:rowOff>
    </xdr:from>
    <xdr:to>
      <xdr:col>86</xdr:col>
      <xdr:colOff>208280</xdr:colOff>
      <xdr:row>16</xdr:row>
      <xdr:rowOff>189738</xdr:rowOff>
    </xdr:to>
    <xdr:sp macro="" textlink="">
      <xdr:nvSpPr>
        <xdr:cNvPr id="100" name="S_TGB_8">
          <a:extLst>
            <a:ext uri="{FF2B5EF4-FFF2-40B4-BE49-F238E27FC236}">
              <a16:creationId xmlns:a16="http://schemas.microsoft.com/office/drawing/2014/main" id="{ED06CA13-7098-4623-9FDE-55638D6E45A3}"/>
            </a:ext>
          </a:extLst>
        </xdr:cNvPr>
        <xdr:cNvSpPr/>
      </xdr:nvSpPr>
      <xdr:spPr>
        <a:xfrm>
          <a:off x="13970000" y="261442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UI Development</a:t>
          </a:r>
        </a:p>
      </xdr:txBody>
    </xdr:sp>
    <xdr:clientData/>
  </xdr:twoCellAnchor>
  <xdr:twoCellAnchor>
    <xdr:from>
      <xdr:col>79</xdr:col>
      <xdr:colOff>25401</xdr:colOff>
      <xdr:row>17</xdr:row>
      <xdr:rowOff>38862</xdr:rowOff>
    </xdr:from>
    <xdr:to>
      <xdr:col>91</xdr:col>
      <xdr:colOff>0</xdr:colOff>
      <xdr:row>17</xdr:row>
      <xdr:rowOff>189738</xdr:rowOff>
    </xdr:to>
    <xdr:sp macro="" textlink="">
      <xdr:nvSpPr>
        <xdr:cNvPr id="101" name="S_TGB_9">
          <a:extLst>
            <a:ext uri="{FF2B5EF4-FFF2-40B4-BE49-F238E27FC236}">
              <a16:creationId xmlns:a16="http://schemas.microsoft.com/office/drawing/2014/main" id="{5154F645-D582-42B1-A710-4FF8DD5D44FB}"/>
            </a:ext>
          </a:extLst>
        </xdr:cNvPr>
        <xdr:cNvSpPr/>
      </xdr:nvSpPr>
      <xdr:spPr>
        <a:xfrm>
          <a:off x="15853230" y="2847376"/>
          <a:ext cx="3109684"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Web App Development</a:t>
          </a:r>
        </a:p>
      </xdr:txBody>
    </xdr:sp>
    <xdr:clientData/>
  </xdr:twoCellAnchor>
  <xdr:twoCellAnchor>
    <xdr:from>
      <xdr:col>61</xdr:col>
      <xdr:colOff>0</xdr:colOff>
      <xdr:row>9</xdr:row>
      <xdr:rowOff>0</xdr:rowOff>
    </xdr:from>
    <xdr:to>
      <xdr:col>61</xdr:col>
      <xdr:colOff>1269</xdr:colOff>
      <xdr:row>24</xdr:row>
      <xdr:rowOff>0</xdr:rowOff>
    </xdr:to>
    <xdr:sp macro="" textlink="">
      <xdr:nvSpPr>
        <xdr:cNvPr id="102" name="S_Today_LineLeft">
          <a:extLst>
            <a:ext uri="{FF2B5EF4-FFF2-40B4-BE49-F238E27FC236}">
              <a16:creationId xmlns:a16="http://schemas.microsoft.com/office/drawing/2014/main" id="{04AEAFD8-2A4C-46E5-8AA4-01A937AA5209}"/>
            </a:ext>
          </a:extLst>
        </xdr:cNvPr>
        <xdr:cNvSpPr/>
      </xdr:nvSpPr>
      <xdr:spPr>
        <a:xfrm>
          <a:off x="11094720" y="975360"/>
          <a:ext cx="1269" cy="34290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61</xdr:col>
      <xdr:colOff>246380</xdr:colOff>
      <xdr:row>9</xdr:row>
      <xdr:rowOff>0</xdr:rowOff>
    </xdr:from>
    <xdr:to>
      <xdr:col>61</xdr:col>
      <xdr:colOff>247650</xdr:colOff>
      <xdr:row>24</xdr:row>
      <xdr:rowOff>0</xdr:rowOff>
    </xdr:to>
    <xdr:sp macro="" textlink="">
      <xdr:nvSpPr>
        <xdr:cNvPr id="103" name="S_Today_LineRight">
          <a:extLst>
            <a:ext uri="{FF2B5EF4-FFF2-40B4-BE49-F238E27FC236}">
              <a16:creationId xmlns:a16="http://schemas.microsoft.com/office/drawing/2014/main" id="{E9EF84AC-ACD4-4551-AEEA-FCFFC0734F90}"/>
            </a:ext>
          </a:extLst>
        </xdr:cNvPr>
        <xdr:cNvSpPr/>
      </xdr:nvSpPr>
      <xdr:spPr>
        <a:xfrm>
          <a:off x="11341100" y="975360"/>
          <a:ext cx="1270" cy="34290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2</xdr:col>
      <xdr:colOff>111518</xdr:colOff>
      <xdr:row>2</xdr:row>
      <xdr:rowOff>57150</xdr:rowOff>
    </xdr:from>
    <xdr:ext cx="1668981" cy="942975"/>
    <xdr:pic>
      <xdr:nvPicPr>
        <xdr:cNvPr id="2" name="Picture 1">
          <a:hlinkClick xmlns:r="http://schemas.openxmlformats.org/officeDocument/2006/relationships" r:id="rId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2"/>
        <a:srcRect/>
        <a:stretch/>
      </xdr:blipFill>
      <xdr:spPr>
        <a:xfrm>
          <a:off x="178193" y="123825"/>
          <a:ext cx="1668981" cy="942975"/>
        </a:xfrm>
        <a:prstGeom prst="rect">
          <a:avLst/>
        </a:prstGeom>
      </xdr:spPr>
    </xdr:pic>
    <xdr:clientData/>
  </xdr:oneCellAnchor>
  <xdr:twoCellAnchor editAs="oneCell">
    <xdr:from>
      <xdr:col>4</xdr:col>
      <xdr:colOff>28575</xdr:colOff>
      <xdr:row>13</xdr:row>
      <xdr:rowOff>180975</xdr:rowOff>
    </xdr:from>
    <xdr:to>
      <xdr:col>20</xdr:col>
      <xdr:colOff>9525</xdr:colOff>
      <xdr:row>20</xdr:row>
      <xdr:rowOff>47625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600075" y="2143125"/>
          <a:ext cx="9686925" cy="1200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600-000002000000}"/>
            </a:ext>
          </a:extLst>
        </xdr:cNvPr>
        <xdr:cNvSpPr/>
      </xdr:nvSpPr>
      <xdr:spPr>
        <a:xfrm>
          <a:off x="695325" y="1495425"/>
          <a:ext cx="5324475" cy="157162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Pr4d" refreshedDate="44416.821233796298" createdVersion="7" refreshedVersion="7" minRefreshableVersion="3" recordCount="4">
  <cacheSource type="worksheet">
    <worksheetSource name="DashboardTable"/>
  </cacheSource>
  <cacheFields count="60">
    <cacheField name="ProjectID" numFmtId="0">
      <sharedItems containsSemiMixedTypes="0" containsString="0" containsNumber="1" containsInteger="1" minValue="1" maxValue="1"/>
    </cacheField>
    <cacheField name="dType" numFmtId="0">
      <sharedItems containsBlank="1" count="7">
        <s v="T"/>
        <m u="1"/>
        <s v="MP" u="1"/>
        <s v="C" u="1"/>
        <s v="dType" u="1"/>
        <s v="M" u="1"/>
        <s v="SP" u="1"/>
      </sharedItems>
    </cacheField>
    <cacheField name="GEType" numFmtId="0">
      <sharedItems count="2">
        <s v="T"/>
        <s v="M" u="1"/>
      </sharedItems>
    </cacheField>
    <cacheField name="TID" numFmtId="0">
      <sharedItems containsSemiMixedTypes="0" containsString="0" containsNumber="1" containsInteger="1" minValue="1" maxValue="4"/>
    </cacheField>
    <cacheField name="Dependency" numFmtId="0">
      <sharedItems containsNonDate="0" containsString="0" containsBlank="1"/>
    </cacheField>
    <cacheField name="Dependents" numFmtId="0">
      <sharedItems containsNonDate="0" containsString="0" containsBlank="1"/>
    </cacheField>
    <cacheField name="StartConstrain" numFmtId="0">
      <sharedItems containsNonDate="0" containsString="0" containsBlank="1"/>
    </cacheField>
    <cacheField name="EndConstrain" numFmtId="0">
      <sharedItems containsNonDate="0" containsString="0" containsBlank="1"/>
    </cacheField>
    <cacheField name="TIL" numFmtId="0">
      <sharedItems containsSemiMixedTypes="0" containsString="0" containsNumber="1" containsInteger="1" minValue="0" maxValue="0"/>
    </cacheField>
    <cacheField name="SS" numFmtId="0">
      <sharedItems containsNonDate="0" containsString="0" containsBlank="1"/>
    </cacheField>
    <cacheField name="TaskIcon" numFmtId="0">
      <sharedItems/>
    </cacheField>
    <cacheField name="WBS" numFmtId="0">
      <sharedItems containsSemiMixedTypes="0" containsString="0" containsNumber="1" containsInteger="1" minValue="1" maxValue="4"/>
    </cacheField>
    <cacheField name="Task" numFmtId="0">
      <sharedItems/>
    </cacheField>
    <cacheField name="Priority" numFmtId="0">
      <sharedItems containsBlank="1" count="4">
        <s v="NORMAL"/>
        <s v="HIGH"/>
        <s v="LOW"/>
        <m u="1"/>
      </sharedItems>
    </cacheField>
    <cacheField name="Status" numFmtId="0">
      <sharedItems containsBlank="1" count="5">
        <s v="Completed"/>
        <s v="InProgress"/>
        <s v="Planned"/>
        <s v="Overdue"/>
        <m u="1"/>
      </sharedItems>
    </cacheField>
    <cacheField name="Resource" numFmtId="0">
      <sharedItems containsNonDate="0" containsBlank="1" count="38">
        <m/>
        <s v="Humfleet Wendy" u="1"/>
        <s v="Unique Drywall" u="1"/>
        <s v="Newton Painting" u="1"/>
        <s v="JR" u="1"/>
        <s v="Olimpia Stucco" u="1"/>
        <s v="Service Tech" u="1"/>
        <s v="Sys Team" u="1"/>
        <s v="BP Banister" u="1"/>
        <s v="Knotty Woodworks" u="1"/>
        <s v="Lopez Wild Dianne" u="1"/>
        <s v="MHC, Cerner" u="1"/>
        <s v="Flash Electrical" u="1"/>
        <s v="Trim Rite Mfg" u="1"/>
        <s v="SS" u="1"/>
        <s v="AC Flooring" u="1"/>
        <s v="Kuschell Andre" u="1"/>
        <s v="Majestic Cab's" u="1"/>
        <s v="Shiley Kayla -Cerner" u="1"/>
        <s v="Derrick G" u="1"/>
        <s v="Marv J" u="1"/>
        <s v="Jim" u="1"/>
        <s v="Derrick G, Brody M" u="1"/>
        <s v="Walworth  Andrea" u="1"/>
        <s v="Pristine - C/tops" u="1"/>
        <s v="Pristine C/tops" u="1"/>
        <s v="King Denise" u="1"/>
        <s v="Client" u="1"/>
        <s v="Morehouse Mitch" u="1"/>
        <s v="Delta Coring" u="1"/>
        <s v="Cerner, MHC" u="1"/>
        <s v="Shiley Kayla -Cerner, Lopez Wild Dianne, Morton Brittany, Rokos John" u="1"/>
        <s v="John" u="1"/>
        <s v="HB" u="1"/>
        <s v="Pristine Surround" u="1"/>
        <s v="T and S" u="1"/>
        <s v="Sys and O&amp;M" u="1"/>
        <s v="MHC" u="1"/>
      </sharedItems>
    </cacheField>
    <cacheField name="ResourceCost" numFmtId="0">
      <sharedItems containsNonDate="0" containsString="0" containsBlank="1"/>
    </cacheField>
    <cacheField name="BSD" numFmtId="0">
      <sharedItems containsNonDate="0" containsString="0" containsBlank="1"/>
    </cacheField>
    <cacheField name="BED" numFmtId="0">
      <sharedItems containsNonDate="0" containsString="0" containsBlank="1"/>
    </cacheField>
    <cacheField name="BD" numFmtId="0">
      <sharedItems containsNonDate="0" containsString="0" containsBlank="1"/>
    </cacheField>
    <cacheField name="ESD" numFmtId="14">
      <sharedItems containsSemiMixedTypes="0" containsNonDate="0" containsDate="1" containsString="0" minDate="2021-08-02T00:00:00" maxDate="2021-08-09T00:00:00"/>
    </cacheField>
    <cacheField name="EED" numFmtId="14">
      <sharedItems containsSemiMixedTypes="0" containsNonDate="0" containsDate="1" containsString="0" minDate="2021-08-05T00:00:00" maxDate="2021-08-21T00:00:00" count="2">
        <d v="2021-08-20T00:00:00"/>
        <d v="2021-08-05T00:00:00"/>
      </sharedItems>
      <fieldGroup par="59" base="21">
        <rangePr groupBy="days" startDate="2021-08-05T00:00:00" endDate="2021-08-21T00:00:00"/>
        <groupItems count="368">
          <s v="&lt;8/5/2021"/>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8/21/2021"/>
        </groupItems>
      </fieldGroup>
    </cacheField>
    <cacheField name="ED" numFmtId="0">
      <sharedItems containsSemiMixedTypes="0" containsString="0" containsNumber="1" containsInteger="1" minValue="4" maxValue="10"/>
    </cacheField>
    <cacheField name="Work" numFmtId="0">
      <sharedItems containsNonDate="0" containsString="0" containsBlank="1"/>
    </cacheField>
    <cacheField name="Done" numFmtId="0">
      <sharedItems containsSemiMixedTypes="0" containsString="0" containsNumber="1" containsInteger="1" minValue="0" maxValue="100"/>
    </cacheField>
    <cacheField name="PercentageCompleted" numFmtId="0">
      <sharedItems containsSemiMixedTypes="0" containsString="0" containsNumber="1" minValue="0" maxValue="1"/>
    </cacheField>
    <cacheField name="ASD" numFmtId="0">
      <sharedItems containsNonDate="0" containsString="0" containsBlank="1"/>
    </cacheField>
    <cacheField name="AED" numFmtId="0">
      <sharedItems containsNonDate="0" containsString="0" containsBlank="1"/>
    </cacheField>
    <cacheField name="AD" numFmtId="0">
      <sharedItems containsNonDate="0" containsString="0" containsBlank="1"/>
    </cacheField>
    <cacheField name="BCS" numFmtId="0">
      <sharedItems containsNonDate="0" containsString="0" containsBlank="1"/>
    </cacheField>
    <cacheField name="ECS" numFmtId="0">
      <sharedItems containsNonDate="0" containsString="0" containsBlank="1"/>
    </cacheField>
    <cacheField name="ACS" numFmtId="0">
      <sharedItems containsNonDate="0" containsString="0" containsBlank="1"/>
    </cacheField>
    <cacheField name="Notes" numFmtId="0">
      <sharedItems containsNonDate="0" containsString="0" containsBlank="1"/>
    </cacheField>
    <cacheField name="TColor" numFmtId="0">
      <sharedItems containsNonDate="0" containsString="0" containsBlank="1"/>
    </cacheField>
    <cacheField name="TPColor" numFmtId="0">
      <sharedItems containsNonDate="0" containsString="0" containsBlank="1"/>
    </cacheField>
    <cacheField name="BLColor" numFmtId="0">
      <sharedItems containsNonDate="0" containsString="0" containsBlank="1"/>
    </cacheField>
    <cacheField name="ACColor" numFmtId="0">
      <sharedItems containsNonDate="0" containsString="0" containsBlank="1"/>
    </cacheField>
    <cacheField name="Custom 1" numFmtId="0">
      <sharedItems containsNonDate="0" containsString="0" containsBlank="1"/>
    </cacheField>
    <cacheField name="Custom 2" numFmtId="0">
      <sharedItems containsNonDate="0" containsString="0" containsBlank="1"/>
    </cacheField>
    <cacheField name="Custom 3" numFmtId="0">
      <sharedItems containsNonDate="0" containsString="0" containsBlank="1"/>
    </cacheField>
    <cacheField name="Custom 4" numFmtId="0">
      <sharedItems containsNonDate="0" containsString="0" containsBlank="1"/>
    </cacheField>
    <cacheField name="Custom 5" numFmtId="0">
      <sharedItems containsNonDate="0" containsString="0" containsBlank="1"/>
    </cacheField>
    <cacheField name="Custom 6" numFmtId="0">
      <sharedItems containsNonDate="0" containsString="0" containsBlank="1"/>
    </cacheField>
    <cacheField name="Custom 7" numFmtId="0">
      <sharedItems containsNonDate="0" containsString="0" containsBlank="1"/>
    </cacheField>
    <cacheField name="Custom 8" numFmtId="0">
      <sharedItems containsNonDate="0" containsString="0" containsBlank="1"/>
    </cacheField>
    <cacheField name="Custom 9" numFmtId="0">
      <sharedItems containsNonDate="0" containsString="0" containsBlank="1"/>
    </cacheField>
    <cacheField name="Custom 10" numFmtId="0">
      <sharedItems containsNonDate="0" containsString="0" containsBlank="1"/>
    </cacheField>
    <cacheField name="Custom 11" numFmtId="0">
      <sharedItems containsNonDate="0" containsString="0" containsBlank="1"/>
    </cacheField>
    <cacheField name="Custom 12" numFmtId="0">
      <sharedItems containsNonDate="0" containsString="0" containsBlank="1"/>
    </cacheField>
    <cacheField name="Custom 13" numFmtId="0">
      <sharedItems containsNonDate="0" containsString="0" containsBlank="1"/>
    </cacheField>
    <cacheField name="Custom 14" numFmtId="0">
      <sharedItems containsNonDate="0" containsString="0" containsBlank="1"/>
    </cacheField>
    <cacheField name="Custom 15" numFmtId="0">
      <sharedItems containsNonDate="0" containsString="0" containsBlank="1"/>
    </cacheField>
    <cacheField name="Custom 16" numFmtId="0">
      <sharedItems containsNonDate="0" containsString="0" containsBlank="1"/>
    </cacheField>
    <cacheField name="Custom 17" numFmtId="0">
      <sharedItems containsNonDate="0" containsString="0" containsBlank="1"/>
    </cacheField>
    <cacheField name="Custom 18" numFmtId="0">
      <sharedItems containsNonDate="0" containsString="0" containsBlank="1"/>
    </cacheField>
    <cacheField name="Custom 19" numFmtId="0">
      <sharedItems containsNonDate="0" containsString="0" containsBlank="1"/>
    </cacheField>
    <cacheField name="Custom 20" numFmtId="0">
      <sharedItems containsNonDate="0" containsString="0" containsBlank="1"/>
    </cacheField>
    <cacheField name="LC" numFmtId="0">
      <sharedItems containsNonDate="0" containsString="0" containsBlank="1"/>
    </cacheField>
    <cacheField name="ProjectFilter" numFmtId="0">
      <sharedItems count="2">
        <b v="1"/>
        <b v="0" u="1"/>
      </sharedItems>
    </cacheField>
    <cacheField name="Months" numFmtId="0" databaseField="0">
      <fieldGroup base="21">
        <rangePr groupBy="months" startDate="2021-08-05T00:00:00" endDate="2021-08-21T00:00:00"/>
        <groupItems count="14">
          <s v="&lt;8/5/2021"/>
          <s v="Jan"/>
          <s v="Feb"/>
          <s v="Mar"/>
          <s v="Apr"/>
          <s v="May"/>
          <s v="Jun"/>
          <s v="Jul"/>
          <s v="Aug"/>
          <s v="Sep"/>
          <s v="Oct"/>
          <s v="Nov"/>
          <s v="Dec"/>
          <s v="&gt;8/21/2021"/>
        </groupItems>
      </fieldGroup>
    </cacheField>
  </cacheFields>
  <extLst>
    <ext xmlns:x14="http://schemas.microsoft.com/office/spreadsheetml/2009/9/main" uri="{725AE2AE-9491-48be-B2B4-4EB974FC3084}">
      <x14:pivotCacheDefinition pivotCacheId="14525976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n v="1"/>
    <x v="0"/>
    <x v="0"/>
    <n v="1"/>
    <m/>
    <m/>
    <m/>
    <m/>
    <n v="0"/>
    <m/>
    <s v="u"/>
    <n v="1"/>
    <s v="Type here or double click to edit in form"/>
    <x v="0"/>
    <x v="0"/>
    <x v="0"/>
    <m/>
    <m/>
    <m/>
    <m/>
    <d v="2021-08-08T00:00:00"/>
    <x v="0"/>
    <n v="10"/>
    <m/>
    <n v="100"/>
    <n v="1"/>
    <m/>
    <m/>
    <m/>
    <m/>
    <m/>
    <m/>
    <m/>
    <m/>
    <m/>
    <m/>
    <m/>
    <m/>
    <m/>
    <m/>
    <m/>
    <m/>
    <m/>
    <m/>
    <m/>
    <m/>
    <m/>
    <m/>
    <m/>
    <m/>
    <m/>
    <m/>
    <m/>
    <m/>
    <m/>
    <m/>
    <m/>
    <m/>
    <x v="0"/>
  </r>
  <r>
    <n v="1"/>
    <x v="0"/>
    <x v="0"/>
    <n v="4"/>
    <m/>
    <m/>
    <m/>
    <m/>
    <n v="0"/>
    <m/>
    <s v="u"/>
    <n v="2"/>
    <s v="Type here or double click to edit in form"/>
    <x v="1"/>
    <x v="1"/>
    <x v="0"/>
    <m/>
    <m/>
    <m/>
    <m/>
    <d v="2021-08-08T00:00:00"/>
    <x v="0"/>
    <n v="10"/>
    <m/>
    <n v="0"/>
    <n v="0.5"/>
    <m/>
    <m/>
    <m/>
    <m/>
    <m/>
    <m/>
    <m/>
    <m/>
    <m/>
    <m/>
    <m/>
    <m/>
    <m/>
    <m/>
    <m/>
    <m/>
    <m/>
    <m/>
    <m/>
    <m/>
    <m/>
    <m/>
    <m/>
    <m/>
    <m/>
    <m/>
    <m/>
    <m/>
    <m/>
    <m/>
    <m/>
    <m/>
    <x v="0"/>
  </r>
  <r>
    <n v="1"/>
    <x v="0"/>
    <x v="0"/>
    <n v="3"/>
    <m/>
    <m/>
    <m/>
    <m/>
    <n v="0"/>
    <m/>
    <s v="u"/>
    <n v="3"/>
    <s v="Type here or double click to edit in form"/>
    <x v="2"/>
    <x v="2"/>
    <x v="0"/>
    <m/>
    <m/>
    <m/>
    <m/>
    <d v="2021-08-08T00:00:00"/>
    <x v="0"/>
    <n v="10"/>
    <m/>
    <n v="0"/>
    <n v="0"/>
    <m/>
    <m/>
    <m/>
    <m/>
    <m/>
    <m/>
    <m/>
    <m/>
    <m/>
    <m/>
    <m/>
    <m/>
    <m/>
    <m/>
    <m/>
    <m/>
    <m/>
    <m/>
    <m/>
    <m/>
    <m/>
    <m/>
    <m/>
    <m/>
    <m/>
    <m/>
    <m/>
    <m/>
    <m/>
    <m/>
    <m/>
    <m/>
    <x v="0"/>
  </r>
  <r>
    <n v="1"/>
    <x v="0"/>
    <x v="0"/>
    <n v="2"/>
    <m/>
    <m/>
    <m/>
    <m/>
    <n v="0"/>
    <m/>
    <s v="u"/>
    <n v="4"/>
    <s v="Type here or double click to edit in form"/>
    <x v="0"/>
    <x v="3"/>
    <x v="0"/>
    <m/>
    <m/>
    <m/>
    <m/>
    <d v="2021-08-02T00:00:00"/>
    <x v="1"/>
    <n v="4"/>
    <m/>
    <n v="0"/>
    <n v="0"/>
    <m/>
    <m/>
    <m/>
    <m/>
    <m/>
    <m/>
    <m/>
    <m/>
    <m/>
    <m/>
    <m/>
    <m/>
    <m/>
    <m/>
    <m/>
    <m/>
    <m/>
    <m/>
    <m/>
    <m/>
    <m/>
    <m/>
    <m/>
    <m/>
    <m/>
    <m/>
    <m/>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T1"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83">
  <location ref="A4:B8" firstHeaderRow="1" firstDataRow="1" firstDataCol="1" rowPageCount="2" colPageCount="1"/>
  <pivotFields count="60">
    <pivotField showAll="0"/>
    <pivotField axis="axisPage" showAll="0">
      <items count="8">
        <item x="0"/>
        <item h="1" m="1" x="2"/>
        <item m="1" x="3"/>
        <item h="1" m="1" x="6"/>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axis="axisRow"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14"/>
  </rowFields>
  <rowItems count="4">
    <i>
      <x/>
    </i>
    <i>
      <x v="1"/>
    </i>
    <i>
      <x v="2"/>
    </i>
    <i>
      <x v="3"/>
    </i>
  </rowItems>
  <colItems count="1">
    <i/>
  </colItems>
  <pageFields count="2">
    <pageField fld="58" hier="-1"/>
    <pageField fld="1" hier="-1"/>
  </pageFields>
  <dataFields count="1">
    <dataField name="Count of tID" fld="3" subtotal="count" baseField="0" baseItem="0"/>
  </dataFields>
  <chartFormats count="11">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14" count="1" selected="0">
            <x v="0"/>
          </reference>
        </references>
      </pivotArea>
    </chartFormat>
    <chartFormat chart="2" format="12">
      <pivotArea type="data" outline="0" fieldPosition="0">
        <references count="2">
          <reference field="4294967294" count="1" selected="0">
            <x v="0"/>
          </reference>
          <reference field="14" count="1" selected="0">
            <x v="1"/>
          </reference>
        </references>
      </pivotArea>
    </chartFormat>
    <chartFormat chart="2" format="13">
      <pivotArea type="data" outline="0" fieldPosition="0">
        <references count="2">
          <reference field="4294967294" count="1" selected="0">
            <x v="0"/>
          </reference>
          <reference field="14" count="1" selected="0">
            <x v="2"/>
          </reference>
        </references>
      </pivotArea>
    </chartFormat>
    <chartFormat chart="2" format="14">
      <pivotArea type="data" outline="0" fieldPosition="0">
        <references count="2">
          <reference field="4294967294" count="1" selected="0">
            <x v="0"/>
          </reference>
          <reference field="14" count="1" selected="0">
            <x v="3"/>
          </reference>
        </references>
      </pivotArea>
    </chartFormat>
    <chartFormat chart="2" format="15">
      <pivotArea type="data" outline="0" fieldPosition="0">
        <references count="1">
          <reference field="4294967294" count="1" selected="0">
            <x v="0"/>
          </reference>
        </references>
      </pivotArea>
    </chartFormat>
    <chartFormat chart="160" format="21" series="1">
      <pivotArea type="data" outline="0" fieldPosition="0">
        <references count="1">
          <reference field="4294967294" count="1" selected="0">
            <x v="0"/>
          </reference>
        </references>
      </pivotArea>
    </chartFormat>
    <chartFormat chart="160" format="22">
      <pivotArea type="data" outline="0" fieldPosition="0">
        <references count="2">
          <reference field="4294967294" count="1" selected="0">
            <x v="0"/>
          </reference>
          <reference field="14" count="1" selected="0">
            <x v="0"/>
          </reference>
        </references>
      </pivotArea>
    </chartFormat>
    <chartFormat chart="160" format="23">
      <pivotArea type="data" outline="0" fieldPosition="0">
        <references count="2">
          <reference field="4294967294" count="1" selected="0">
            <x v="0"/>
          </reference>
          <reference field="14" count="1" selected="0">
            <x v="1"/>
          </reference>
        </references>
      </pivotArea>
    </chartFormat>
    <chartFormat chart="160" format="24">
      <pivotArea type="data" outline="0" fieldPosition="0">
        <references count="2">
          <reference field="4294967294" count="1" selected="0">
            <x v="0"/>
          </reference>
          <reference field="14" count="1" selected="0">
            <x v="2"/>
          </reference>
        </references>
      </pivotArea>
    </chartFormat>
    <chartFormat chart="160" format="25">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T2"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89">
  <location ref="K4:L7" firstHeaderRow="1" firstDataRow="1" firstDataCol="1" rowPageCount="2" colPageCount="1"/>
  <pivotFields count="60">
    <pivotField showAll="0"/>
    <pivotField axis="axisPage" showAll="0">
      <items count="8">
        <item x="0"/>
        <item h="1" m="1" x="2"/>
        <item m="1" x="3"/>
        <item h="1" m="1" x="6"/>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axis="axisRow"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13"/>
  </rowFields>
  <rowItems count="3">
    <i>
      <x/>
    </i>
    <i>
      <x v="1"/>
    </i>
    <i>
      <x v="2"/>
    </i>
  </rowItems>
  <colItems count="1">
    <i/>
  </colItems>
  <pageFields count="2">
    <pageField fld="58" hier="-1"/>
    <pageField fld="1" hier="-1"/>
  </pageFields>
  <dataFields count="1">
    <dataField name="Count of tID" fld="3" subtotal="count" baseField="0" baseItem="0"/>
  </dataFields>
  <chartFormats count="10">
    <chartFormat chart="0" format="4"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0"/>
          </reference>
        </references>
      </pivotArea>
    </chartFormat>
    <chartFormat chart="5" format="20" series="1">
      <pivotArea type="data" outline="0" fieldPosition="0">
        <references count="1">
          <reference field="4294967294" count="1" selected="0">
            <x v="0"/>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13" count="1" selected="0">
            <x v="0"/>
          </reference>
        </references>
      </pivotArea>
    </chartFormat>
    <chartFormat chart="10" format="15">
      <pivotArea type="data" outline="0" fieldPosition="0">
        <references count="2">
          <reference field="4294967294" count="1" selected="0">
            <x v="0"/>
          </reference>
          <reference field="13" count="1" selected="0">
            <x v="1"/>
          </reference>
        </references>
      </pivotArea>
    </chartFormat>
    <chartFormat chart="10" format="16">
      <pivotArea type="data" outline="0" fieldPosition="0">
        <references count="2">
          <reference field="4294967294" count="1" selected="0">
            <x v="0"/>
          </reference>
          <reference field="13" count="1" selected="0">
            <x v="2"/>
          </reference>
        </references>
      </pivotArea>
    </chartFormat>
    <chartFormat chart="10" format="17">
      <pivotArea type="data" outline="0" fieldPosition="0">
        <references count="1">
          <reference field="4294967294" count="1" selected="0">
            <x v="0"/>
          </reference>
        </references>
      </pivotArea>
    </chartFormat>
    <chartFormat chart="166" format="20" series="1">
      <pivotArea type="data" outline="0" fieldPosition="0">
        <references count="1">
          <reference field="4294967294" count="1" selected="0">
            <x v="0"/>
          </reference>
        </references>
      </pivotArea>
    </chartFormat>
    <chartFormat chart="166" format="2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T5"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AP4:AQ6" firstHeaderRow="1" firstDataRow="1" firstDataCol="1" rowPageCount="2" colPageCount="1"/>
  <pivotFields count="60">
    <pivotField showAll="0"/>
    <pivotField axis="axisPage" showAll="0">
      <items count="8">
        <item m="1" x="3"/>
        <item h="1" m="1" x="2"/>
        <item h="1" m="1" x="6"/>
        <item x="0"/>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axis="axisRow"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21"/>
  </rowFields>
  <rowItems count="2">
    <i>
      <x v="217"/>
    </i>
    <i>
      <x v="232"/>
    </i>
  </rowItems>
  <colItems count="1">
    <i/>
  </colItems>
  <pageFields count="2">
    <pageField fld="58" hier="-1"/>
    <pageField fld="1" hier="-1"/>
  </pageFields>
  <dataFields count="1">
    <dataField name="Count of tID"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T8"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T4" firstHeaderRow="0" firstDataRow="0" firstDataCol="0"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T7"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K4" firstHeaderRow="0" firstDataRow="0" firstDataCol="0"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T3"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94">
  <location ref="U4:V7" firstHeaderRow="1" firstDataRow="1" firstDataCol="1" rowPageCount="2" colPageCount="1"/>
  <pivotFields count="60">
    <pivotField showAll="0"/>
    <pivotField axis="axisPage" showAll="0">
      <items count="8">
        <item h="1" m="1" x="3"/>
        <item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2"/>
  </rowFields>
  <rowItems count="3">
    <i>
      <x/>
    </i>
    <i i="1">
      <x v="1"/>
    </i>
    <i i="2">
      <x v="2"/>
    </i>
  </rowItems>
  <colItems count="1">
    <i/>
  </colItems>
  <pageFields count="2">
    <pageField fld="58" hier="-1"/>
    <pageField fld="1" hier="-1"/>
  </pageFields>
  <dataFields count="3">
    <dataField name="Baseline Cost" fld="29" baseField="0" baseItem="0" numFmtId="164"/>
    <dataField name="Estimated Cost" fld="30" baseField="0" baseItem="0" numFmtId="164"/>
    <dataField name="Actual Cost" fld="31" baseField="0" baseItem="0" numFmtId="164"/>
  </dataFields>
  <chartFormats count="7">
    <chartFormat chart="16" format="4" series="1">
      <pivotArea type="data" outline="0" fieldPosition="0">
        <references count="1">
          <reference field="4294967294" count="1" selected="0">
            <x v="0"/>
          </reference>
        </references>
      </pivotArea>
    </chartFormat>
    <chartFormat chart="16" format="5">
      <pivotArea type="data" outline="0" fieldPosition="0">
        <references count="1">
          <reference field="4294967294" count="1" selected="0">
            <x v="1"/>
          </reference>
        </references>
      </pivotArea>
    </chartFormat>
    <chartFormat chart="16" format="6">
      <pivotArea type="data" outline="0" fieldPosition="0">
        <references count="1">
          <reference field="4294967294" count="1" selected="0">
            <x v="2"/>
          </reference>
        </references>
      </pivotArea>
    </chartFormat>
    <chartFormat chart="16" format="7">
      <pivotArea type="data" outline="0" fieldPosition="0">
        <references count="1">
          <reference field="4294967294" count="1" selected="0">
            <x v="0"/>
          </reference>
        </references>
      </pivotArea>
    </chartFormat>
    <chartFormat chart="171" format="11" series="1">
      <pivotArea type="data" outline="0" fieldPosition="0">
        <references count="1">
          <reference field="4294967294" count="1" selected="0">
            <x v="0"/>
          </reference>
        </references>
      </pivotArea>
    </chartFormat>
    <chartFormat chart="171" format="12">
      <pivotArea type="data" outline="0" fieldPosition="0">
        <references count="1">
          <reference field="4294967294" count="1" selected="0">
            <x v="0"/>
          </reference>
        </references>
      </pivotArea>
    </chartFormat>
    <chartFormat chart="171" format="13">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T6"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A4:BA5" firstHeaderRow="1" firstDataRow="1" firstDataCol="1"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axis="axisRow" showAll="0">
      <items count="39">
        <item m="1" x="30"/>
        <item m="1" x="1"/>
        <item m="1" x="26"/>
        <item m="1" x="16"/>
        <item m="1" x="10"/>
        <item m="1" x="37"/>
        <item m="1" x="11"/>
        <item m="1" x="28"/>
        <item m="1" x="18"/>
        <item m="1" x="31"/>
        <item m="1" x="23"/>
        <item x="0"/>
        <item m="1" x="35"/>
        <item m="1" x="33"/>
        <item m="1" x="7"/>
        <item m="1" x="14"/>
        <item m="1" x="27"/>
        <item m="1" x="4"/>
        <item m="1" x="36"/>
        <item m="1" x="22"/>
        <item m="1" x="19"/>
        <item m="1" x="29"/>
        <item m="1" x="20"/>
        <item m="1" x="13"/>
        <item m="1" x="12"/>
        <item m="1" x="6"/>
        <item m="1" x="2"/>
        <item m="1" x="3"/>
        <item m="1" x="17"/>
        <item m="1" x="24"/>
        <item m="1" x="9"/>
        <item m="1" x="8"/>
        <item m="1" x="15"/>
        <item m="1" x="5"/>
        <item m="1" x="32"/>
        <item m="1" x="21"/>
        <item m="1" x="25"/>
        <item m="1" x="34"/>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5"/>
  </rowFields>
  <rowItems count="1">
    <i>
      <x v="11"/>
    </i>
  </rowItems>
  <colItems count="1">
    <i/>
  </colItem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T4"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75">
  <location ref="AE4" firstHeaderRow="0" firstDataRow="0" firstDataCol="0" rowPageCount="2" colPageCount="1"/>
  <pivotFields count="60">
    <pivotField showAll="0"/>
    <pivotField showAll="0"/>
    <pivotField axis="axisPage" showAll="0">
      <items count="3">
        <item m="1" x="1"/>
        <item h="1" x="0"/>
        <item t="default"/>
      </items>
    </pivotField>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iority" sourceName="Priority">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4">
        <i x="1" s="1"/>
        <i x="2" s="1"/>
        <i x="0"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tatus" sourceName="Status">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5">
        <i x="0" s="1"/>
        <i x="1" s="1"/>
        <i x="3" s="1"/>
        <i x="2" s="1"/>
        <i x="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Resource" sourceName="Resource">
  <pivotTables>
    <pivotTable tabId="89" name="PT6"/>
    <pivotTable tabId="89" name="PT1"/>
    <pivotTable tabId="89" name="PT2"/>
    <pivotTable tabId="89" name="PT3"/>
    <pivotTable tabId="89" name="PT4"/>
    <pivotTable tabId="89" name="PT5"/>
    <pivotTable tabId="89" name="PT7"/>
    <pivotTable tabId="89" name="PT8"/>
  </pivotTables>
  <data>
    <tabular pivotCacheId="1452597621">
      <items count="38">
        <i x="0" s="1"/>
        <i x="15" s="1" nd="1"/>
        <i x="8" s="1" nd="1"/>
        <i x="30" s="1" nd="1"/>
        <i x="27" s="1" nd="1"/>
        <i x="29" s="1" nd="1"/>
        <i x="19" s="1" nd="1"/>
        <i x="22" s="1" nd="1"/>
        <i x="12" s="1" nd="1"/>
        <i x="33" s="1" nd="1"/>
        <i x="1" s="1" nd="1"/>
        <i x="21" s="1" nd="1"/>
        <i x="32" s="1" nd="1"/>
        <i x="4" s="1" nd="1"/>
        <i x="26" s="1" nd="1"/>
        <i x="9" s="1" nd="1"/>
        <i x="16" s="1" nd="1"/>
        <i x="10" s="1" nd="1"/>
        <i x="17" s="1" nd="1"/>
        <i x="20" s="1" nd="1"/>
        <i x="37" s="1" nd="1"/>
        <i x="11" s="1" nd="1"/>
        <i x="28" s="1" nd="1"/>
        <i x="3" s="1" nd="1"/>
        <i x="5" s="1" nd="1"/>
        <i x="24" s="1" nd="1"/>
        <i x="25" s="1" nd="1"/>
        <i x="34" s="1" nd="1"/>
        <i x="6" s="1" nd="1"/>
        <i x="18" s="1" nd="1"/>
        <i x="31" s="1" nd="1"/>
        <i x="14" s="1" nd="1"/>
        <i x="36" s="1" nd="1"/>
        <i x="7" s="1" nd="1"/>
        <i x="35" s="1" nd="1"/>
        <i x="13" s="1" nd="1"/>
        <i x="2" s="1" nd="1"/>
        <i x="2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iority" cache="Slicer_Priority" caption="Priority" style="SlicerStyleLight2" rowHeight="241300"/>
  <slicer name="Status" cache="Slicer_Status" caption="Status" style="SlicerStyleLight6" rowHeight="241300"/>
  <slicer name="Resource" cache="Slicer_Resource" caption="Resource" style="SlicerStyleLight4" rowHeight="241300"/>
</slicers>
</file>

<file path=xl/tables/table1.xml><?xml version="1.0" encoding="utf-8"?>
<table xmlns="http://schemas.openxmlformats.org/spreadsheetml/2006/main" id="2" name="DashboardTable" displayName="DashboardTable" ref="A1:BG5" totalsRowShown="0">
  <autoFilter ref="A1:BG5"/>
  <tableColumns count="59">
    <tableColumn id="1" name="ProjectID"/>
    <tableColumn id="2" name="dType"/>
    <tableColumn id="3" name="GEType"/>
    <tableColumn id="4" name="TID"/>
    <tableColumn id="5" name="Dependency"/>
    <tableColumn id="6" name="Dependents"/>
    <tableColumn id="7" name="StartConstrain"/>
    <tableColumn id="8" name="EndConstrain"/>
    <tableColumn id="9" name="TIL"/>
    <tableColumn id="10" name="SS"/>
    <tableColumn id="11" name="TaskIcon"/>
    <tableColumn id="12" name="WBS"/>
    <tableColumn id="13" name="Task"/>
    <tableColumn id="14" name="Priority"/>
    <tableColumn id="15" name="Status"/>
    <tableColumn id="16" name="Resource"/>
    <tableColumn id="17" name="ResourceCost"/>
    <tableColumn id="18" name="BSD"/>
    <tableColumn id="19" name="BED"/>
    <tableColumn id="20" name="BD"/>
    <tableColumn id="21" name="ESD" dataDxfId="2"/>
    <tableColumn id="22" name="EED" dataDxfId="1"/>
    <tableColumn id="23" name="ED"/>
    <tableColumn id="24" name="Work"/>
    <tableColumn id="25" name="Done"/>
    <tableColumn id="26" name="PercentageCompleted"/>
    <tableColumn id="27" name="ASD"/>
    <tableColumn id="28" name="AED"/>
    <tableColumn id="29" name="AD"/>
    <tableColumn id="30" name="BCS"/>
    <tableColumn id="31" name="ECS"/>
    <tableColumn id="32" name="ACS"/>
    <tableColumn id="33" name="Notes"/>
    <tableColumn id="34" name="TColor"/>
    <tableColumn id="35" name="TPColor"/>
    <tableColumn id="36" name="BLColor"/>
    <tableColumn id="37" name="ACColor"/>
    <tableColumn id="38" name="Custom 1"/>
    <tableColumn id="39" name="Custom 2"/>
    <tableColumn id="40" name="Custom 3"/>
    <tableColumn id="41" name="Custom 4"/>
    <tableColumn id="42" name="Custom 5"/>
    <tableColumn id="43" name="Custom 6"/>
    <tableColumn id="44" name="Custom 7"/>
    <tableColumn id="45" name="Custom 8"/>
    <tableColumn id="46" name="Custom 9"/>
    <tableColumn id="47" name="Custom 10"/>
    <tableColumn id="48" name="Custom 11"/>
    <tableColumn id="49" name="Custom 12"/>
    <tableColumn id="50" name="Custom 13"/>
    <tableColumn id="51" name="Custom 14"/>
    <tableColumn id="52" name="Custom 15"/>
    <tableColumn id="53" name="Custom 16"/>
    <tableColumn id="54" name="Custom 17"/>
    <tableColumn id="55" name="Custom 18"/>
    <tableColumn id="56" name="Custom 19"/>
    <tableColumn id="57" name="Custom 20"/>
    <tableColumn id="58" name="LC"/>
    <tableColumn id="59" name="ProjectFilter">
      <calculatedColumnFormula>DashboardTable[[#This Row],[ProjectID]]=#REF!</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name="NativeTimeline_EED" sourceName="EED">
  <pivotTables>
    <pivotTable tabId="89" name="PT1"/>
    <pivotTable tabId="89" name="PT2"/>
    <pivotTable tabId="89" name="PT3"/>
    <pivotTable tabId="89" name="PT4"/>
    <pivotTable tabId="89" name="PT5"/>
    <pivotTable tabId="89" name="PT6"/>
    <pivotTable tabId="89" name="PT7"/>
    <pivotTable tabId="89" name="PT8"/>
  </pivotTables>
  <state minimalRefreshVersion="6" lastRefreshVersion="6" pivotCacheId="1452597621" filterType="unknown">
    <bounds startDate="2021-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EED 2" cache="NativeTimeline_EED" caption="Task Due Date" level="2" selectionLevel="2" scrollPosition="2021-01-01T00:00:00" style="TimeSlicerStyleLight6"/>
</timeline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hyperlink" Target="https://www.ganttexcel.com/documentation/?utm_source=xlc&amp;utm_medium=107768139713862382776892699594864013771059744140" TargetMode="External"/><Relationship Id="rId2" Type="http://schemas.openxmlformats.org/officeDocument/2006/relationships/hyperlink" Target="https://www.ganttexcel.com/documentation/?utm_source=xlc&amp;utm_medium=107768139713862382776892699594864013771059744140" TargetMode="External"/><Relationship Id="rId1" Type="http://schemas.openxmlformats.org/officeDocument/2006/relationships/hyperlink" Target="https://www.ganttexcel.com/documentation/enable-macros/?utm_source=xlc&amp;utm_medium=107768139713862382776892699594864013771059744140" TargetMode="External"/><Relationship Id="rId5" Type="http://schemas.openxmlformats.org/officeDocument/2006/relationships/drawing" Target="../drawings/drawing6.xml"/><Relationship Id="rId4"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DD"/>
  <dimension ref="A1:BG5"/>
  <sheetViews>
    <sheetView workbookViewId="0">
      <selection activeCell="B33" sqref="B33"/>
    </sheetView>
  </sheetViews>
  <sheetFormatPr defaultRowHeight="14.4" x14ac:dyDescent="0.3"/>
  <cols>
    <col min="1" max="4" width="12.88671875" customWidth="1"/>
    <col min="5" max="5" width="15" customWidth="1"/>
    <col min="6" max="6" width="14.6640625" customWidth="1"/>
    <col min="7" max="7" width="16.44140625" customWidth="1"/>
    <col min="8" max="8" width="15.5546875" customWidth="1"/>
    <col min="9" max="16" width="12.88671875" customWidth="1"/>
    <col min="17" max="17" width="15.109375" customWidth="1"/>
    <col min="18" max="23" width="12.88671875" customWidth="1"/>
    <col min="24" max="24" width="13" customWidth="1"/>
    <col min="25" max="26" width="23" customWidth="1"/>
    <col min="27" max="57" width="12.88671875" customWidth="1"/>
    <col min="58" max="61" width="11" customWidth="1"/>
  </cols>
  <sheetData>
    <row r="1" spans="1:59" x14ac:dyDescent="0.3">
      <c r="A1" t="s">
        <v>170</v>
      </c>
      <c r="B1" t="s">
        <v>171</v>
      </c>
      <c r="C1" t="s">
        <v>234</v>
      </c>
      <c r="D1" t="s">
        <v>226</v>
      </c>
      <c r="E1" t="s">
        <v>227</v>
      </c>
      <c r="F1" t="s">
        <v>228</v>
      </c>
      <c r="G1" t="s">
        <v>229</v>
      </c>
      <c r="H1" t="s">
        <v>230</v>
      </c>
      <c r="I1" t="s">
        <v>160</v>
      </c>
      <c r="J1" t="s">
        <v>161</v>
      </c>
      <c r="K1" t="s">
        <v>231</v>
      </c>
      <c r="L1" t="s">
        <v>27</v>
      </c>
      <c r="M1" t="s">
        <v>26</v>
      </c>
      <c r="N1" t="s">
        <v>137</v>
      </c>
      <c r="O1" t="s">
        <v>138</v>
      </c>
      <c r="P1" t="s">
        <v>225</v>
      </c>
      <c r="Q1" t="s">
        <v>232</v>
      </c>
      <c r="R1" t="s">
        <v>25</v>
      </c>
      <c r="S1" t="s">
        <v>24</v>
      </c>
      <c r="T1" t="s">
        <v>23</v>
      </c>
      <c r="U1" t="s">
        <v>22</v>
      </c>
      <c r="V1" t="s">
        <v>20</v>
      </c>
      <c r="W1" t="s">
        <v>18</v>
      </c>
      <c r="X1" t="s">
        <v>223</v>
      </c>
      <c r="Y1" t="s">
        <v>233</v>
      </c>
      <c r="Z1" t="s">
        <v>17</v>
      </c>
      <c r="AA1" t="s">
        <v>21</v>
      </c>
      <c r="AB1" t="s">
        <v>19</v>
      </c>
      <c r="AC1" t="s">
        <v>16</v>
      </c>
      <c r="AD1" t="s">
        <v>15</v>
      </c>
      <c r="AE1" t="s">
        <v>14</v>
      </c>
      <c r="AF1" t="s">
        <v>13</v>
      </c>
      <c r="AG1" t="s">
        <v>12</v>
      </c>
      <c r="AH1" t="s">
        <v>162</v>
      </c>
      <c r="AI1" t="s">
        <v>163</v>
      </c>
      <c r="AJ1" t="s">
        <v>164</v>
      </c>
      <c r="AK1" t="s">
        <v>165</v>
      </c>
      <c r="AL1" t="s">
        <v>172</v>
      </c>
      <c r="AM1" t="s">
        <v>173</v>
      </c>
      <c r="AN1" t="s">
        <v>174</v>
      </c>
      <c r="AO1" t="s">
        <v>175</v>
      </c>
      <c r="AP1" t="s">
        <v>176</v>
      </c>
      <c r="AQ1" t="s">
        <v>177</v>
      </c>
      <c r="AR1" t="s">
        <v>178</v>
      </c>
      <c r="AS1" t="s">
        <v>179</v>
      </c>
      <c r="AT1" t="s">
        <v>180</v>
      </c>
      <c r="AU1" t="s">
        <v>181</v>
      </c>
      <c r="AV1" t="s">
        <v>182</v>
      </c>
      <c r="AW1" t="s">
        <v>183</v>
      </c>
      <c r="AX1" t="s">
        <v>184</v>
      </c>
      <c r="AY1" t="s">
        <v>185</v>
      </c>
      <c r="AZ1" t="s">
        <v>186</v>
      </c>
      <c r="BA1" t="s">
        <v>187</v>
      </c>
      <c r="BB1" t="s">
        <v>188</v>
      </c>
      <c r="BC1" t="s">
        <v>189</v>
      </c>
      <c r="BD1" t="s">
        <v>190</v>
      </c>
      <c r="BE1" t="s">
        <v>191</v>
      </c>
      <c r="BF1" t="s">
        <v>166</v>
      </c>
      <c r="BG1" s="130" t="s">
        <v>215</v>
      </c>
    </row>
    <row r="2" spans="1:59" x14ac:dyDescent="0.3">
      <c r="A2">
        <v>1</v>
      </c>
      <c r="B2" t="s">
        <v>167</v>
      </c>
      <c r="C2" t="s">
        <v>167</v>
      </c>
      <c r="D2">
        <v>1</v>
      </c>
      <c r="I2">
        <v>0</v>
      </c>
      <c r="K2" t="s">
        <v>169</v>
      </c>
      <c r="L2">
        <v>1</v>
      </c>
      <c r="M2" t="s">
        <v>243</v>
      </c>
      <c r="N2" t="s">
        <v>168</v>
      </c>
      <c r="O2" t="s">
        <v>56</v>
      </c>
      <c r="U2" s="89">
        <v>44416</v>
      </c>
      <c r="V2" s="89">
        <v>44428</v>
      </c>
      <c r="W2">
        <v>10</v>
      </c>
      <c r="Y2">
        <v>100</v>
      </c>
      <c r="Z2">
        <v>1</v>
      </c>
      <c r="BG2" s="130" t="e">
        <f>DashboardTable[[#This Row],[ProjectID]]=#REF!</f>
        <v>#REF!</v>
      </c>
    </row>
    <row r="3" spans="1:59" x14ac:dyDescent="0.3">
      <c r="A3">
        <v>1</v>
      </c>
      <c r="B3" t="s">
        <v>167</v>
      </c>
      <c r="C3" t="s">
        <v>167</v>
      </c>
      <c r="D3">
        <v>4</v>
      </c>
      <c r="I3">
        <v>0</v>
      </c>
      <c r="K3" t="s">
        <v>169</v>
      </c>
      <c r="L3">
        <v>2</v>
      </c>
      <c r="M3" t="s">
        <v>243</v>
      </c>
      <c r="N3" t="s">
        <v>237</v>
      </c>
      <c r="O3" t="s">
        <v>244</v>
      </c>
      <c r="U3" s="89">
        <v>44416</v>
      </c>
      <c r="V3" s="89">
        <v>44428</v>
      </c>
      <c r="W3">
        <v>10</v>
      </c>
      <c r="Y3">
        <v>0</v>
      </c>
      <c r="Z3">
        <v>0.5</v>
      </c>
      <c r="BG3" s="130" t="e">
        <f>DashboardTable[[#This Row],[ProjectID]]=#REF!</f>
        <v>#REF!</v>
      </c>
    </row>
    <row r="4" spans="1:59" x14ac:dyDescent="0.3">
      <c r="A4">
        <v>1</v>
      </c>
      <c r="B4" t="s">
        <v>167</v>
      </c>
      <c r="C4" t="s">
        <v>167</v>
      </c>
      <c r="D4">
        <v>3</v>
      </c>
      <c r="I4">
        <v>0</v>
      </c>
      <c r="K4" t="s">
        <v>169</v>
      </c>
      <c r="L4">
        <v>3</v>
      </c>
      <c r="M4" t="s">
        <v>243</v>
      </c>
      <c r="N4" t="s">
        <v>236</v>
      </c>
      <c r="O4" t="s">
        <v>58</v>
      </c>
      <c r="U4" s="89">
        <v>44416</v>
      </c>
      <c r="V4" s="89">
        <v>44428</v>
      </c>
      <c r="W4">
        <v>10</v>
      </c>
      <c r="Y4">
        <v>0</v>
      </c>
      <c r="Z4">
        <v>0</v>
      </c>
      <c r="BG4" s="130" t="e">
        <f>DashboardTable[[#This Row],[ProjectID]]=#REF!</f>
        <v>#REF!</v>
      </c>
    </row>
    <row r="5" spans="1:59" x14ac:dyDescent="0.3">
      <c r="A5">
        <v>1</v>
      </c>
      <c r="B5" t="s">
        <v>167</v>
      </c>
      <c r="C5" t="s">
        <v>167</v>
      </c>
      <c r="D5">
        <v>2</v>
      </c>
      <c r="I5">
        <v>0</v>
      </c>
      <c r="K5" t="s">
        <v>169</v>
      </c>
      <c r="L5">
        <v>4</v>
      </c>
      <c r="M5" t="s">
        <v>243</v>
      </c>
      <c r="N5" t="s">
        <v>168</v>
      </c>
      <c r="O5" t="s">
        <v>59</v>
      </c>
      <c r="U5" s="89">
        <v>44410</v>
      </c>
      <c r="V5" s="89">
        <v>44413</v>
      </c>
      <c r="W5">
        <v>4</v>
      </c>
      <c r="Y5">
        <v>0</v>
      </c>
      <c r="Z5">
        <v>0</v>
      </c>
      <c r="BG5" s="130" t="e">
        <f>DashboardTable[[#This Row],[ProjectID]]=#REF!</f>
        <v>#REF!</v>
      </c>
    </row>
  </sheetData>
  <phoneticPr fontId="24"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ST"/>
  <dimension ref="A1:LW10"/>
  <sheetViews>
    <sheetView workbookViewId="0">
      <selection activeCell="G26" sqref="G26"/>
    </sheetView>
  </sheetViews>
  <sheetFormatPr defaultColWidth="9.109375" defaultRowHeight="14.4" x14ac:dyDescent="0.3"/>
  <cols>
    <col min="1" max="1" width="9.109375" style="52"/>
    <col min="2" max="2" width="9.109375" style="63"/>
    <col min="3" max="11" width="9.109375" style="52"/>
    <col min="12" max="12" width="14.88671875" style="87" customWidth="1"/>
    <col min="13" max="13" width="14.88671875" style="88" customWidth="1"/>
    <col min="14" max="14" width="12.88671875" style="52" customWidth="1"/>
    <col min="15" max="19" width="9.109375" style="52"/>
    <col min="20" max="20" width="12.6640625" style="52" customWidth="1"/>
    <col min="21" max="27" width="9.109375" style="52"/>
    <col min="28" max="28" width="19.6640625" style="52" customWidth="1"/>
    <col min="29" max="45" width="9.109375" style="52"/>
    <col min="46" max="46" width="9.109375" style="88"/>
    <col min="47" max="64" width="9.109375" style="52"/>
    <col min="65" max="65" width="9.109375" style="57"/>
    <col min="66" max="71" width="9.109375" style="60"/>
    <col min="72" max="102" width="9.109375" style="52"/>
    <col min="103" max="103" width="9.109375" style="62"/>
    <col min="104" max="313" width="9.109375" style="52"/>
    <col min="314" max="325" width="9.109375" style="62"/>
    <col min="326" max="16384" width="9.109375" style="52"/>
  </cols>
  <sheetData>
    <row r="1" spans="1:335" x14ac:dyDescent="0.3">
      <c r="A1" s="11" t="s">
        <v>132</v>
      </c>
      <c r="B1" s="11" t="s">
        <v>146</v>
      </c>
      <c r="C1" s="9" t="s">
        <v>42</v>
      </c>
      <c r="D1" s="9" t="s">
        <v>62</v>
      </c>
      <c r="E1" s="9" t="s">
        <v>45</v>
      </c>
      <c r="F1" s="9" t="s">
        <v>53</v>
      </c>
      <c r="G1" s="9" t="s">
        <v>4</v>
      </c>
      <c r="H1" s="9" t="s">
        <v>6</v>
      </c>
      <c r="I1" s="9" t="s">
        <v>55</v>
      </c>
      <c r="J1" s="9" t="s">
        <v>54</v>
      </c>
      <c r="K1" s="9" t="s">
        <v>71</v>
      </c>
      <c r="L1" s="9" t="s">
        <v>148</v>
      </c>
      <c r="M1" s="9" t="s">
        <v>149</v>
      </c>
      <c r="N1" s="9" t="s">
        <v>64</v>
      </c>
      <c r="O1" s="9" t="s">
        <v>65</v>
      </c>
      <c r="P1" s="9" t="s">
        <v>51</v>
      </c>
      <c r="Q1" s="9" t="s">
        <v>50</v>
      </c>
      <c r="R1" s="9" t="s">
        <v>49</v>
      </c>
      <c r="S1" s="9" t="s">
        <v>48</v>
      </c>
      <c r="T1" s="9" t="s">
        <v>120</v>
      </c>
      <c r="U1" s="9" t="s">
        <v>121</v>
      </c>
      <c r="V1" s="9" t="s">
        <v>122</v>
      </c>
      <c r="W1" s="9" t="s">
        <v>123</v>
      </c>
      <c r="X1" s="9" t="s">
        <v>124</v>
      </c>
      <c r="Y1" s="9" t="s">
        <v>41</v>
      </c>
      <c r="Z1" s="9" t="s">
        <v>40</v>
      </c>
      <c r="AA1" s="9" t="s">
        <v>43</v>
      </c>
      <c r="AB1" s="9" t="s">
        <v>135</v>
      </c>
      <c r="AC1" s="9" t="s">
        <v>52</v>
      </c>
      <c r="AD1" s="9" t="s">
        <v>47</v>
      </c>
      <c r="AE1" s="9" t="s">
        <v>36</v>
      </c>
      <c r="AF1" s="9" t="s">
        <v>35</v>
      </c>
      <c r="AG1" s="9" t="s">
        <v>34</v>
      </c>
      <c r="AH1" s="9" t="s">
        <v>33</v>
      </c>
      <c r="AI1" s="9" t="s">
        <v>32</v>
      </c>
      <c r="AJ1" s="9" t="s">
        <v>31</v>
      </c>
      <c r="AK1" s="9" t="s">
        <v>30</v>
      </c>
      <c r="AL1" s="9" t="s">
        <v>66</v>
      </c>
      <c r="AM1" s="9" t="s">
        <v>67</v>
      </c>
      <c r="AN1" s="9" t="s">
        <v>145</v>
      </c>
      <c r="AO1" s="11" t="s">
        <v>81</v>
      </c>
      <c r="AP1" s="11" t="s">
        <v>82</v>
      </c>
      <c r="AQ1" s="11" t="s">
        <v>83</v>
      </c>
      <c r="AR1" s="11" t="s">
        <v>84</v>
      </c>
      <c r="AS1" s="11" t="s">
        <v>90</v>
      </c>
      <c r="AT1" s="11" t="s">
        <v>150</v>
      </c>
      <c r="AU1" s="11" t="s">
        <v>85</v>
      </c>
      <c r="AV1" s="11" t="s">
        <v>86</v>
      </c>
      <c r="AW1" s="11" t="s">
        <v>87</v>
      </c>
      <c r="AX1" s="11" t="s">
        <v>98</v>
      </c>
      <c r="AY1" s="11" t="s">
        <v>88</v>
      </c>
      <c r="AZ1" s="11" t="s">
        <v>89</v>
      </c>
      <c r="BA1" s="11" t="s">
        <v>116</v>
      </c>
      <c r="BB1" s="11" t="s">
        <v>151</v>
      </c>
      <c r="BC1" s="11" t="s">
        <v>91</v>
      </c>
      <c r="BD1" s="11" t="s">
        <v>92</v>
      </c>
      <c r="BE1" s="11" t="s">
        <v>93</v>
      </c>
      <c r="BF1" s="11" t="s">
        <v>125</v>
      </c>
      <c r="BG1" s="11" t="s">
        <v>126</v>
      </c>
      <c r="BH1" s="11" t="s">
        <v>94</v>
      </c>
      <c r="BI1" s="11" t="s">
        <v>114</v>
      </c>
      <c r="BJ1" s="11" t="s">
        <v>95</v>
      </c>
      <c r="BK1" s="11" t="s">
        <v>96</v>
      </c>
      <c r="BL1" s="11" t="s">
        <v>97</v>
      </c>
      <c r="BM1" s="11" t="s">
        <v>136</v>
      </c>
      <c r="BN1" s="11" t="s">
        <v>139</v>
      </c>
      <c r="BO1" s="11" t="s">
        <v>140</v>
      </c>
      <c r="BP1" s="11" t="s">
        <v>141</v>
      </c>
      <c r="BQ1" s="11" t="s">
        <v>142</v>
      </c>
      <c r="BR1" s="11" t="s">
        <v>143</v>
      </c>
      <c r="BS1" s="11" t="s">
        <v>144</v>
      </c>
      <c r="BT1" s="11" t="s">
        <v>99</v>
      </c>
      <c r="BU1" s="9" t="s">
        <v>100</v>
      </c>
      <c r="BV1" s="9" t="s">
        <v>101</v>
      </c>
      <c r="BW1" s="9" t="s">
        <v>102</v>
      </c>
      <c r="BX1" s="9" t="s">
        <v>103</v>
      </c>
      <c r="BY1" s="9" t="s">
        <v>104</v>
      </c>
      <c r="BZ1" s="9" t="s">
        <v>105</v>
      </c>
      <c r="CA1" s="9" t="s">
        <v>106</v>
      </c>
      <c r="CB1" s="9" t="s">
        <v>107</v>
      </c>
      <c r="CC1" s="9" t="s">
        <v>108</v>
      </c>
      <c r="CD1" s="9" t="s">
        <v>109</v>
      </c>
      <c r="CE1" s="9" t="s">
        <v>110</v>
      </c>
      <c r="CF1" s="9" t="s">
        <v>112</v>
      </c>
      <c r="CG1" s="9" t="s">
        <v>111</v>
      </c>
      <c r="CH1" s="9" t="s">
        <v>115</v>
      </c>
      <c r="CI1" s="9" t="s">
        <v>117</v>
      </c>
      <c r="CJ1" s="9" t="s">
        <v>118</v>
      </c>
      <c r="CK1" s="9" t="s">
        <v>119</v>
      </c>
      <c r="CL1" s="9" t="s">
        <v>109</v>
      </c>
      <c r="CM1" s="9" t="s">
        <v>110</v>
      </c>
      <c r="CN1" s="9" t="s">
        <v>112</v>
      </c>
      <c r="CO1" s="9" t="s">
        <v>111</v>
      </c>
      <c r="CP1" s="9" t="s">
        <v>115</v>
      </c>
      <c r="CQ1" s="9" t="s">
        <v>117</v>
      </c>
      <c r="CR1" s="9" t="s">
        <v>118</v>
      </c>
      <c r="CS1" s="9" t="s">
        <v>119</v>
      </c>
      <c r="CT1" s="12" t="s">
        <v>133</v>
      </c>
      <c r="CU1" s="12" t="s">
        <v>128</v>
      </c>
      <c r="CV1" s="12" t="s">
        <v>134</v>
      </c>
      <c r="CW1" s="12" t="s">
        <v>131</v>
      </c>
      <c r="CX1" s="12" t="s">
        <v>130</v>
      </c>
      <c r="CY1" s="12" t="s">
        <v>147</v>
      </c>
      <c r="CZ1" s="12" t="s">
        <v>155</v>
      </c>
      <c r="DA1" s="12" t="s">
        <v>154</v>
      </c>
      <c r="DB1" s="12" t="s">
        <v>153</v>
      </c>
      <c r="DC1" s="12" t="s">
        <v>152</v>
      </c>
      <c r="DD1" s="12" t="s">
        <v>159</v>
      </c>
      <c r="LO1" s="12" t="s">
        <v>46</v>
      </c>
      <c r="LP1" s="12" t="s">
        <v>44</v>
      </c>
      <c r="LQ1" s="12" t="s">
        <v>39</v>
      </c>
      <c r="LR1" s="12" t="s">
        <v>38</v>
      </c>
      <c r="LS1" s="12" t="s">
        <v>37</v>
      </c>
      <c r="LT1" s="12" t="s">
        <v>60</v>
      </c>
      <c r="LU1" s="12" t="s">
        <v>61</v>
      </c>
      <c r="LV1" s="12" t="s">
        <v>72</v>
      </c>
      <c r="LW1" s="12"/>
    </row>
    <row r="2" spans="1:335" x14ac:dyDescent="0.3">
      <c r="A2" s="10" t="s">
        <v>113</v>
      </c>
      <c r="B2" s="10">
        <v>1</v>
      </c>
      <c r="C2" s="9" t="s">
        <v>28</v>
      </c>
      <c r="D2" s="9" t="s">
        <v>63</v>
      </c>
      <c r="E2" s="9" t="b">
        <v>1</v>
      </c>
      <c r="F2" s="13" t="s">
        <v>8</v>
      </c>
      <c r="G2" s="14">
        <v>20000</v>
      </c>
      <c r="H2" s="14">
        <v>10000</v>
      </c>
      <c r="I2" s="13"/>
      <c r="J2" s="13">
        <v>0</v>
      </c>
      <c r="K2" s="13" t="b">
        <v>0</v>
      </c>
      <c r="L2" s="13" t="b">
        <v>1</v>
      </c>
      <c r="M2" s="13" t="b">
        <v>1</v>
      </c>
      <c r="N2" s="13" t="b">
        <v>1</v>
      </c>
      <c r="O2" s="13" t="b">
        <v>1</v>
      </c>
      <c r="P2" s="13">
        <v>1</v>
      </c>
      <c r="Q2" s="13">
        <v>1</v>
      </c>
      <c r="R2" s="13">
        <v>1</v>
      </c>
      <c r="S2" s="13">
        <v>1</v>
      </c>
      <c r="T2" s="13" t="b">
        <v>1</v>
      </c>
      <c r="U2" s="13" t="b">
        <v>1</v>
      </c>
      <c r="V2" s="13" t="b">
        <v>1</v>
      </c>
      <c r="W2" s="13" t="b">
        <v>1</v>
      </c>
      <c r="X2" s="13" t="b">
        <v>1</v>
      </c>
      <c r="Y2" s="9" t="b">
        <v>1</v>
      </c>
      <c r="Z2" s="9" t="b">
        <v>0</v>
      </c>
      <c r="AA2" s="9">
        <v>0</v>
      </c>
      <c r="AB2" s="13">
        <v>1</v>
      </c>
      <c r="AC2" s="13" t="s">
        <v>29</v>
      </c>
      <c r="AD2" s="13">
        <v>1</v>
      </c>
      <c r="AE2" s="9" t="b">
        <v>0</v>
      </c>
      <c r="AF2" s="9">
        <v>20</v>
      </c>
      <c r="AG2" s="51" t="s">
        <v>127</v>
      </c>
      <c r="AH2" s="9" t="s">
        <v>26</v>
      </c>
      <c r="AI2" s="9" t="b">
        <v>1</v>
      </c>
      <c r="AJ2" s="9" t="b">
        <v>0</v>
      </c>
      <c r="AK2" s="9" t="b">
        <v>0</v>
      </c>
      <c r="AL2" s="9" t="s">
        <v>68</v>
      </c>
      <c r="AM2" s="9" t="s">
        <v>69</v>
      </c>
      <c r="AN2" s="9"/>
      <c r="AO2" s="76" t="s">
        <v>77</v>
      </c>
      <c r="AP2" s="76" t="s">
        <v>76</v>
      </c>
      <c r="AQ2" s="16"/>
      <c r="AR2" s="78"/>
      <c r="AS2" s="17"/>
      <c r="AT2" s="17"/>
      <c r="AU2" s="18"/>
      <c r="AV2" s="19"/>
      <c r="AW2" s="20"/>
      <c r="AX2" s="21"/>
      <c r="AY2" s="77"/>
      <c r="AZ2" s="22"/>
      <c r="BA2" s="22"/>
      <c r="BB2" s="77"/>
      <c r="BC2" s="53"/>
      <c r="BD2" s="79"/>
      <c r="BE2" s="81"/>
      <c r="BF2" s="80"/>
      <c r="BG2" s="81"/>
      <c r="BH2" s="54"/>
      <c r="BI2" s="33"/>
      <c r="BJ2" s="25"/>
      <c r="BK2" s="53"/>
      <c r="BL2" s="26"/>
      <c r="BM2" s="58"/>
      <c r="BN2" s="20"/>
      <c r="BO2" s="83"/>
      <c r="BP2" s="85"/>
      <c r="BQ2" s="35"/>
      <c r="BR2" s="61"/>
      <c r="BS2" s="54"/>
      <c r="BT2" s="10">
        <v>56</v>
      </c>
      <c r="BU2" s="27">
        <v>35</v>
      </c>
      <c r="BV2" s="9">
        <v>6</v>
      </c>
      <c r="BW2" s="9">
        <v>2</v>
      </c>
      <c r="BX2" s="9">
        <v>2</v>
      </c>
      <c r="BY2" s="9">
        <v>3</v>
      </c>
      <c r="BZ2" s="9">
        <v>2</v>
      </c>
      <c r="CA2" s="9">
        <v>3</v>
      </c>
      <c r="CB2" s="9">
        <v>3</v>
      </c>
      <c r="CC2" s="9">
        <v>6</v>
      </c>
      <c r="CD2" s="9">
        <v>8</v>
      </c>
      <c r="CE2" s="9">
        <v>10</v>
      </c>
      <c r="CF2" s="9">
        <v>12</v>
      </c>
      <c r="CG2" s="9">
        <v>15</v>
      </c>
      <c r="CH2" s="9" t="b">
        <v>1</v>
      </c>
      <c r="CI2" s="13" t="b">
        <v>1</v>
      </c>
      <c r="CJ2" s="15">
        <v>43647</v>
      </c>
      <c r="CK2" s="15">
        <v>43679</v>
      </c>
      <c r="CL2" s="9">
        <v>6</v>
      </c>
      <c r="CM2" s="9">
        <v>10</v>
      </c>
      <c r="CN2" s="9">
        <v>12</v>
      </c>
      <c r="CO2" s="9">
        <v>15</v>
      </c>
      <c r="CP2" s="9" t="b">
        <v>1</v>
      </c>
      <c r="CQ2" s="13" t="b">
        <v>1</v>
      </c>
      <c r="CR2" s="15">
        <v>43617</v>
      </c>
      <c r="CS2" s="15">
        <v>43672</v>
      </c>
      <c r="CT2" s="56" t="s">
        <v>129</v>
      </c>
      <c r="CU2" s="56" t="b">
        <v>1</v>
      </c>
      <c r="CV2" s="56" t="b">
        <v>1</v>
      </c>
      <c r="CW2" s="52" t="b">
        <v>1</v>
      </c>
      <c r="CX2" s="52" t="b">
        <v>1</v>
      </c>
      <c r="CY2" s="62" t="b">
        <v>1</v>
      </c>
      <c r="CZ2" s="52">
        <v>2000</v>
      </c>
      <c r="DA2" s="52">
        <v>2050</v>
      </c>
      <c r="DB2" s="89">
        <v>36526</v>
      </c>
      <c r="DC2" s="89">
        <v>54789</v>
      </c>
      <c r="DD2" s="89">
        <v>44534</v>
      </c>
      <c r="LO2" s="48">
        <v>1</v>
      </c>
      <c r="LP2" s="12" t="s">
        <v>245</v>
      </c>
      <c r="LQ2" s="49" t="s">
        <v>286</v>
      </c>
      <c r="LR2" s="49" t="s">
        <v>287</v>
      </c>
      <c r="LS2" s="49" t="s">
        <v>246</v>
      </c>
      <c r="LT2" s="12" t="s">
        <v>247</v>
      </c>
      <c r="LU2" s="12"/>
      <c r="LV2" s="50">
        <v>44534</v>
      </c>
    </row>
    <row r="3" spans="1:335" x14ac:dyDescent="0.3">
      <c r="A3" s="10"/>
      <c r="B3" s="10"/>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76" t="s">
        <v>76</v>
      </c>
      <c r="AP3" s="76"/>
      <c r="AQ3" s="16"/>
      <c r="AR3" s="28"/>
      <c r="AS3" s="17"/>
      <c r="AT3" s="17"/>
      <c r="AU3" s="18"/>
      <c r="AV3" s="19"/>
      <c r="AW3" s="20"/>
      <c r="AX3" s="29"/>
      <c r="AY3" s="79"/>
      <c r="AZ3" s="22"/>
      <c r="BA3" s="22"/>
      <c r="BB3" s="86"/>
      <c r="BC3" s="24"/>
      <c r="BD3" s="79"/>
      <c r="BE3" s="81"/>
      <c r="BF3" s="80"/>
      <c r="BG3" s="81"/>
      <c r="BH3" s="23"/>
      <c r="BI3" s="24"/>
      <c r="BJ3" s="33"/>
      <c r="BK3" s="24"/>
      <c r="BL3" s="34"/>
      <c r="BM3" s="59"/>
      <c r="BN3" s="20"/>
      <c r="BO3" s="83"/>
      <c r="BP3" s="85"/>
      <c r="BQ3" s="35"/>
      <c r="BR3" s="61"/>
      <c r="BS3" s="54"/>
      <c r="BT3" s="9"/>
      <c r="BU3" s="9"/>
      <c r="BV3" s="9"/>
      <c r="BW3" s="9"/>
      <c r="BX3" s="9"/>
      <c r="BY3" s="9"/>
      <c r="BZ3" s="9"/>
      <c r="CA3" s="9"/>
      <c r="CB3" s="9"/>
      <c r="CC3" s="9"/>
      <c r="CD3" s="9"/>
      <c r="CE3" s="9"/>
      <c r="CF3" s="9"/>
      <c r="CG3" s="9"/>
      <c r="CH3" s="9"/>
      <c r="CI3" s="9"/>
      <c r="CJ3" s="9"/>
      <c r="CK3" s="9"/>
      <c r="CL3" s="9"/>
      <c r="CM3" s="9"/>
      <c r="CN3" s="9"/>
      <c r="CO3" s="9"/>
      <c r="CP3" s="9"/>
      <c r="CQ3" s="9"/>
      <c r="CR3" s="9"/>
      <c r="CS3" s="9"/>
      <c r="CT3" s="56"/>
      <c r="CU3" s="56"/>
      <c r="CV3" s="56"/>
    </row>
    <row r="4" spans="1:335" x14ac:dyDescent="0.3">
      <c r="A4" s="10"/>
      <c r="B4" s="10"/>
      <c r="C4" s="9"/>
      <c r="D4" s="9"/>
      <c r="E4" s="9"/>
      <c r="F4" s="9"/>
      <c r="G4" s="9"/>
      <c r="H4" s="9"/>
      <c r="I4" s="9"/>
      <c r="J4" s="9"/>
      <c r="K4" s="9"/>
      <c r="L4" s="9"/>
      <c r="M4" s="9"/>
      <c r="N4" s="9"/>
      <c r="O4" s="9"/>
      <c r="P4" s="9"/>
      <c r="Q4"/>
      <c r="R4"/>
      <c r="S4"/>
      <c r="T4"/>
      <c r="U4"/>
      <c r="V4"/>
      <c r="W4" s="9"/>
      <c r="X4" s="9"/>
      <c r="Y4" s="9"/>
      <c r="Z4" s="9"/>
      <c r="AA4" s="9"/>
      <c r="AB4" s="9"/>
      <c r="AC4" s="9"/>
      <c r="AD4" s="9"/>
      <c r="AE4" s="9"/>
      <c r="AF4" s="9"/>
      <c r="AG4" s="9"/>
      <c r="AH4" s="9"/>
      <c r="AI4" s="9"/>
      <c r="AJ4" s="9"/>
      <c r="AK4" s="9"/>
      <c r="AL4" s="9"/>
      <c r="AM4" s="9"/>
      <c r="AN4" s="9"/>
      <c r="AO4" s="76" t="s">
        <v>78</v>
      </c>
      <c r="AP4" s="76"/>
      <c r="AQ4" s="23"/>
      <c r="AR4" s="35"/>
      <c r="AS4" s="36"/>
      <c r="AT4" s="36"/>
      <c r="AU4" s="37"/>
      <c r="AV4" s="28"/>
      <c r="AW4" s="20"/>
      <c r="AX4" s="38"/>
      <c r="AY4" s="39"/>
      <c r="AZ4" s="84"/>
      <c r="BA4" s="84"/>
      <c r="BB4" s="36"/>
      <c r="BC4" s="23"/>
      <c r="BD4" s="79"/>
      <c r="BE4" s="81"/>
      <c r="BF4" s="80"/>
      <c r="BG4" s="81"/>
      <c r="BH4" s="32"/>
      <c r="BI4" s="40"/>
      <c r="BJ4" s="76"/>
      <c r="BK4" s="76"/>
      <c r="BL4" s="34"/>
      <c r="BM4" s="55"/>
      <c r="BN4" s="20"/>
      <c r="BO4" s="83"/>
      <c r="BP4" s="85"/>
      <c r="BQ4" s="35"/>
      <c r="BR4" s="61"/>
      <c r="BS4" s="54"/>
      <c r="BT4" s="9"/>
      <c r="BU4" s="9"/>
      <c r="BV4" s="9"/>
      <c r="BW4" s="9"/>
      <c r="BX4" s="9"/>
      <c r="BY4" s="9"/>
      <c r="BZ4" s="9"/>
      <c r="CA4" s="9"/>
      <c r="CB4" s="9"/>
      <c r="CC4" s="9"/>
      <c r="CD4" s="9"/>
      <c r="CE4" s="9"/>
      <c r="CF4" s="9"/>
      <c r="CG4" s="9"/>
      <c r="CH4" s="9"/>
      <c r="CI4" s="9"/>
      <c r="CJ4" s="9"/>
      <c r="CK4" s="9"/>
      <c r="CL4" s="9"/>
      <c r="CM4" s="9"/>
      <c r="CN4" s="9"/>
      <c r="CO4" s="9"/>
      <c r="CP4" s="9"/>
      <c r="CQ4" s="9"/>
      <c r="CR4" s="9"/>
      <c r="CS4" s="9"/>
      <c r="CT4" s="56"/>
      <c r="CU4" s="56"/>
      <c r="CV4" s="56"/>
    </row>
    <row r="5" spans="1:335" x14ac:dyDescent="0.3">
      <c r="A5" s="10"/>
      <c r="B5" s="10"/>
      <c r="C5" s="9"/>
      <c r="D5" s="9"/>
      <c r="E5" s="9"/>
      <c r="F5" s="9"/>
      <c r="G5" s="9"/>
      <c r="H5" s="9"/>
      <c r="I5" s="9"/>
      <c r="J5" s="9"/>
      <c r="K5" s="9"/>
      <c r="L5" s="9"/>
      <c r="M5" s="9"/>
      <c r="N5" s="9"/>
      <c r="O5" s="9"/>
      <c r="P5" s="9"/>
      <c r="Q5"/>
      <c r="R5"/>
      <c r="S5"/>
      <c r="T5"/>
      <c r="U5"/>
      <c r="V5"/>
      <c r="W5" s="9"/>
      <c r="X5" s="9"/>
      <c r="Y5" s="9"/>
      <c r="Z5" s="9"/>
      <c r="AA5" s="9"/>
      <c r="AB5" s="9"/>
      <c r="AC5" s="9"/>
      <c r="AD5" s="9"/>
      <c r="AE5" s="9"/>
      <c r="AF5" s="9"/>
      <c r="AG5" s="9"/>
      <c r="AH5" s="9"/>
      <c r="AI5" s="9"/>
      <c r="AJ5" s="9"/>
      <c r="AK5" s="9"/>
      <c r="AL5" s="9"/>
      <c r="AM5" s="9"/>
      <c r="AN5" s="9"/>
      <c r="AO5" s="76" t="s">
        <v>75</v>
      </c>
      <c r="AP5" s="76"/>
      <c r="AQ5" s="41"/>
      <c r="AR5" s="82"/>
      <c r="AS5" s="42"/>
      <c r="AT5" s="42"/>
      <c r="AU5" s="43"/>
      <c r="AV5" s="44"/>
      <c r="AW5" s="20"/>
      <c r="AX5" s="29"/>
      <c r="AY5" s="45"/>
      <c r="AZ5" s="30"/>
      <c r="BA5" s="30"/>
      <c r="BB5" s="34"/>
      <c r="BC5" s="46"/>
      <c r="BD5" s="79"/>
      <c r="BE5" s="81"/>
      <c r="BF5" s="80"/>
      <c r="BG5" s="81"/>
      <c r="BH5" s="47"/>
      <c r="BI5" s="31"/>
      <c r="BJ5" s="55"/>
      <c r="BK5" s="33"/>
      <c r="BL5" s="34"/>
      <c r="BM5" s="55"/>
      <c r="BN5" s="20"/>
      <c r="BO5" s="83"/>
      <c r="BP5" s="85"/>
      <c r="BQ5" s="35"/>
      <c r="BR5" s="61"/>
      <c r="BS5" s="54"/>
      <c r="BT5" s="9"/>
      <c r="BU5" s="9"/>
      <c r="BV5" s="9"/>
      <c r="BW5" s="9"/>
      <c r="BX5" s="9"/>
      <c r="BY5" s="9"/>
      <c r="BZ5" s="9"/>
      <c r="CA5" s="9"/>
      <c r="CB5" s="9"/>
      <c r="CC5" s="9"/>
      <c r="CD5" s="9"/>
      <c r="CE5" s="9"/>
      <c r="CF5" s="9"/>
      <c r="CG5" s="9"/>
      <c r="CH5" s="9"/>
      <c r="CI5" s="9"/>
      <c r="CJ5" s="9"/>
      <c r="CK5" s="9"/>
      <c r="CL5" s="9"/>
      <c r="CM5" s="9"/>
      <c r="CN5" s="9"/>
      <c r="CO5" s="9"/>
      <c r="CP5" s="9"/>
      <c r="CQ5" s="9"/>
      <c r="CR5" s="9"/>
      <c r="CS5" s="9"/>
      <c r="CT5" s="56"/>
      <c r="CU5" s="56"/>
      <c r="CV5" s="56"/>
    </row>
    <row r="6" spans="1:335" x14ac:dyDescent="0.3">
      <c r="A6" s="10"/>
      <c r="B6" s="10"/>
      <c r="C6" s="10"/>
      <c r="D6" s="10"/>
      <c r="E6" s="10"/>
      <c r="F6" s="10"/>
      <c r="G6" s="10"/>
      <c r="H6" s="10"/>
      <c r="I6" s="10"/>
      <c r="J6" s="10"/>
      <c r="K6" s="10"/>
      <c r="L6" s="76"/>
      <c r="M6" s="76"/>
      <c r="N6" s="10"/>
      <c r="O6" s="10"/>
      <c r="P6" s="10"/>
      <c r="Q6"/>
      <c r="R6"/>
      <c r="S6"/>
      <c r="T6"/>
      <c r="U6"/>
      <c r="V6"/>
      <c r="W6" s="10"/>
      <c r="X6" s="10"/>
      <c r="Y6" s="10"/>
      <c r="Z6" s="10"/>
      <c r="AA6" s="10"/>
      <c r="AB6" s="10"/>
      <c r="AC6" s="10"/>
      <c r="AD6" s="10"/>
      <c r="AE6" s="10"/>
      <c r="AF6" s="10"/>
      <c r="AG6" s="10"/>
      <c r="AH6" s="10"/>
      <c r="AI6" s="10"/>
      <c r="AJ6" s="10"/>
      <c r="AK6" s="10"/>
      <c r="AL6" s="10"/>
      <c r="AM6" s="10"/>
      <c r="AN6" s="10"/>
      <c r="AO6" s="76" t="s">
        <v>79</v>
      </c>
      <c r="AP6" s="76"/>
      <c r="AQ6" s="16"/>
      <c r="AR6" s="28"/>
      <c r="AS6" s="17"/>
      <c r="AT6" s="17"/>
      <c r="AU6" s="18"/>
      <c r="AV6" s="19"/>
      <c r="AW6" s="20"/>
      <c r="AX6" s="29"/>
      <c r="AY6" s="79"/>
      <c r="AZ6" s="22"/>
      <c r="BA6" s="22"/>
      <c r="BB6" s="86"/>
      <c r="BC6" s="24"/>
      <c r="BD6" s="79"/>
      <c r="BE6" s="81"/>
      <c r="BF6" s="80"/>
      <c r="BG6" s="81"/>
      <c r="BH6" s="23"/>
      <c r="BI6" s="24"/>
      <c r="BJ6" s="33"/>
      <c r="BK6" s="24"/>
      <c r="BL6" s="34"/>
      <c r="BM6" s="59"/>
      <c r="BN6" s="20"/>
      <c r="BO6" s="83"/>
      <c r="BP6" s="85"/>
      <c r="BQ6" s="35"/>
      <c r="BR6" s="61"/>
      <c r="BS6" s="54"/>
      <c r="BT6" s="10"/>
      <c r="BU6" s="10"/>
      <c r="BV6" s="10"/>
      <c r="BW6" s="10"/>
      <c r="BX6" s="10"/>
      <c r="BY6" s="10"/>
      <c r="BZ6" s="10"/>
      <c r="CA6" s="10"/>
      <c r="CB6" s="10"/>
      <c r="CC6" s="10"/>
      <c r="CD6" s="10"/>
      <c r="CE6" s="10"/>
      <c r="CF6" s="10"/>
      <c r="CG6" s="10"/>
      <c r="CH6" s="10"/>
      <c r="CI6" s="10"/>
      <c r="CJ6" s="10"/>
      <c r="CK6" s="10"/>
      <c r="CL6" s="10"/>
      <c r="CM6" s="10"/>
      <c r="CN6" s="10"/>
      <c r="CO6" s="10"/>
      <c r="CP6" s="10"/>
      <c r="CQ6" s="10"/>
      <c r="CR6" s="10"/>
      <c r="CS6" s="10"/>
      <c r="CT6" s="56"/>
      <c r="CU6" s="56"/>
      <c r="CV6" s="56"/>
    </row>
    <row r="7" spans="1:335" x14ac:dyDescent="0.3">
      <c r="A7" s="10"/>
      <c r="B7" s="10"/>
      <c r="C7" s="10"/>
      <c r="D7" s="10"/>
      <c r="E7" s="10"/>
      <c r="F7" s="10"/>
      <c r="G7" s="10"/>
      <c r="H7" s="10"/>
      <c r="I7" s="10"/>
      <c r="J7" s="10"/>
      <c r="K7" s="10"/>
      <c r="L7" s="76"/>
      <c r="M7" s="76"/>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76"/>
      <c r="AP7" s="76"/>
      <c r="AQ7" s="16"/>
      <c r="AR7" s="28"/>
      <c r="AS7" s="17"/>
      <c r="AT7" s="17"/>
      <c r="AU7" s="18"/>
      <c r="AV7" s="19"/>
      <c r="AW7" s="20"/>
      <c r="AX7" s="29"/>
      <c r="AY7" s="79"/>
      <c r="AZ7" s="22"/>
      <c r="BA7" s="22"/>
      <c r="BB7" s="86"/>
      <c r="BC7" s="24"/>
      <c r="BD7" s="79"/>
      <c r="BE7" s="81"/>
      <c r="BF7" s="80"/>
      <c r="BG7" s="81"/>
      <c r="BH7" s="23"/>
      <c r="BI7" s="24"/>
      <c r="BJ7" s="33"/>
      <c r="BK7" s="24"/>
      <c r="BL7" s="34"/>
      <c r="BM7" s="59"/>
      <c r="BN7" s="20"/>
      <c r="BO7" s="83"/>
      <c r="BP7" s="85"/>
      <c r="BQ7" s="35"/>
      <c r="BR7" s="61"/>
      <c r="BS7" s="54"/>
      <c r="BT7" s="10"/>
      <c r="BU7" s="10"/>
      <c r="BV7" s="10"/>
      <c r="BW7" s="10"/>
      <c r="BX7" s="10"/>
      <c r="BY7" s="10"/>
      <c r="BZ7" s="10"/>
      <c r="CA7" s="10"/>
      <c r="CB7" s="10"/>
      <c r="CC7" s="10"/>
      <c r="CD7" s="10"/>
      <c r="CE7" s="10"/>
      <c r="CF7" s="10"/>
      <c r="CG7" s="10"/>
      <c r="CH7" s="10"/>
      <c r="CI7" s="10"/>
      <c r="CJ7" s="10"/>
      <c r="CK7" s="10"/>
      <c r="CL7" s="10"/>
      <c r="CM7" s="10"/>
      <c r="CN7" s="10"/>
      <c r="CO7" s="10"/>
      <c r="CP7" s="10"/>
      <c r="CQ7" s="10"/>
      <c r="CR7" s="10"/>
      <c r="CS7" s="10"/>
      <c r="CT7" s="56"/>
      <c r="CU7" s="56"/>
      <c r="CV7" s="56"/>
    </row>
    <row r="8" spans="1:335" x14ac:dyDescent="0.3">
      <c r="A8" s="56"/>
      <c r="C8" s="56"/>
      <c r="D8" s="56"/>
      <c r="E8" s="56"/>
      <c r="F8" s="56"/>
      <c r="G8" s="56"/>
      <c r="H8" s="56"/>
      <c r="I8" s="56"/>
      <c r="J8" s="56"/>
      <c r="K8" s="56"/>
      <c r="N8" s="56"/>
      <c r="O8" s="56"/>
      <c r="P8" s="56"/>
      <c r="Q8" s="56"/>
      <c r="R8" s="56"/>
      <c r="S8" s="56"/>
      <c r="T8" s="56"/>
      <c r="U8" s="56"/>
      <c r="V8" s="56"/>
      <c r="W8" s="56"/>
      <c r="X8" s="56"/>
      <c r="Y8" s="56"/>
      <c r="Z8" s="56"/>
      <c r="AA8" s="56"/>
      <c r="AB8" s="56"/>
      <c r="AC8" s="56"/>
      <c r="AD8" s="56"/>
      <c r="AE8" s="56"/>
      <c r="AF8" s="56"/>
      <c r="AG8" s="56"/>
      <c r="AH8" s="56"/>
      <c r="AI8" s="56"/>
      <c r="AJ8" s="56"/>
      <c r="AK8" s="56"/>
      <c r="AL8" s="56"/>
      <c r="AM8" s="56"/>
      <c r="AN8" s="56"/>
      <c r="AO8" s="56"/>
      <c r="AP8" s="56"/>
      <c r="AQ8" s="56"/>
      <c r="AR8" s="56"/>
      <c r="AS8" s="56"/>
      <c r="AU8" s="56"/>
      <c r="AV8" s="56"/>
      <c r="AW8" s="56"/>
      <c r="AX8" s="56"/>
      <c r="AY8" s="56"/>
      <c r="AZ8" s="56"/>
      <c r="BA8" s="56"/>
      <c r="BB8" s="56"/>
      <c r="BC8" s="56"/>
      <c r="BD8" s="56"/>
      <c r="BE8" s="56"/>
      <c r="BF8" s="56"/>
      <c r="BG8" s="56"/>
      <c r="BH8" s="56"/>
      <c r="BI8" s="56"/>
      <c r="BJ8" s="56"/>
      <c r="BK8" s="56"/>
      <c r="BL8" s="56"/>
      <c r="BT8" s="56"/>
      <c r="BU8" s="56"/>
      <c r="BV8" s="56"/>
      <c r="BW8" s="56"/>
      <c r="BX8" s="56"/>
      <c r="BY8" s="56"/>
      <c r="BZ8" s="56"/>
      <c r="CA8" s="56"/>
      <c r="CB8" s="56"/>
      <c r="CC8" s="56"/>
      <c r="CD8" s="56"/>
      <c r="CE8" s="56"/>
      <c r="CF8" s="56"/>
      <c r="CG8" s="56"/>
      <c r="CH8" s="56"/>
      <c r="CI8" s="56"/>
      <c r="CJ8" s="56"/>
      <c r="CK8" s="56"/>
      <c r="CL8" s="56"/>
      <c r="CM8" s="56"/>
      <c r="CN8" s="56"/>
      <c r="CO8" s="56"/>
      <c r="CP8" s="56"/>
      <c r="CQ8" s="56"/>
      <c r="CR8" s="56"/>
      <c r="CS8" s="56"/>
      <c r="CT8" s="56"/>
      <c r="CU8" s="56"/>
      <c r="CV8" s="56"/>
    </row>
    <row r="9" spans="1:335" x14ac:dyDescent="0.3">
      <c r="A9" s="56"/>
      <c r="C9" s="56"/>
      <c r="D9" s="56"/>
      <c r="E9" s="56"/>
      <c r="F9" s="56"/>
      <c r="G9" s="56"/>
      <c r="H9" s="56"/>
      <c r="I9" s="56"/>
      <c r="J9" s="56"/>
      <c r="K9" s="56"/>
      <c r="N9" s="56"/>
      <c r="O9" s="56"/>
      <c r="P9" s="56"/>
      <c r="Q9" s="56"/>
      <c r="R9" s="56"/>
      <c r="S9" s="56"/>
      <c r="T9" s="56"/>
      <c r="U9" s="56"/>
      <c r="V9" s="56"/>
      <c r="W9" s="56"/>
      <c r="X9" s="56"/>
      <c r="Y9" s="56"/>
      <c r="Z9" s="56"/>
      <c r="AA9" s="56"/>
      <c r="AB9" s="56"/>
      <c r="AC9" s="56"/>
      <c r="AD9" s="56"/>
      <c r="AE9" s="56"/>
      <c r="AF9" s="56"/>
      <c r="AG9" s="56"/>
      <c r="AH9" s="56"/>
      <c r="AI9" s="56"/>
      <c r="AJ9" s="56"/>
      <c r="AK9" s="56"/>
      <c r="AL9" s="56"/>
      <c r="AM9" s="56"/>
      <c r="AN9" s="56"/>
      <c r="AO9" s="56"/>
      <c r="AP9" s="56"/>
      <c r="AQ9" s="56"/>
      <c r="AR9" s="56"/>
      <c r="AS9" s="56"/>
      <c r="AU9" s="56"/>
      <c r="AV9" s="56"/>
      <c r="AW9" s="56"/>
      <c r="AX9" s="56"/>
      <c r="AY9" s="56"/>
      <c r="AZ9" s="56"/>
      <c r="BA9" s="56"/>
      <c r="BB9" s="56"/>
      <c r="BC9" s="56"/>
      <c r="BD9" s="56"/>
      <c r="BE9" s="56"/>
      <c r="BF9" s="56"/>
      <c r="BG9" s="56"/>
      <c r="BH9" s="56"/>
      <c r="BI9" s="56"/>
      <c r="BJ9" s="56"/>
      <c r="BK9" s="56"/>
      <c r="BL9" s="56"/>
      <c r="BT9" s="56"/>
      <c r="BU9" s="56"/>
      <c r="BV9" s="56"/>
      <c r="BW9" s="56"/>
      <c r="BX9" s="56"/>
      <c r="BY9" s="56"/>
      <c r="BZ9" s="56"/>
      <c r="CA9" s="56"/>
      <c r="CB9" s="56"/>
      <c r="CC9" s="56"/>
      <c r="CD9" s="56"/>
      <c r="CE9" s="56"/>
      <c r="CF9" s="56"/>
      <c r="CG9" s="56"/>
      <c r="CH9" s="56"/>
      <c r="CI9" s="56"/>
      <c r="CJ9" s="56"/>
      <c r="CK9" s="56"/>
      <c r="CL9" s="56"/>
      <c r="CM9" s="56"/>
      <c r="CN9" s="56"/>
      <c r="CO9" s="56"/>
      <c r="CP9" s="56"/>
      <c r="CQ9" s="56"/>
      <c r="CR9" s="56"/>
      <c r="CS9" s="56"/>
      <c r="CT9" s="56"/>
      <c r="CU9" s="56"/>
      <c r="CV9" s="56"/>
    </row>
    <row r="10" spans="1:335" x14ac:dyDescent="0.3">
      <c r="A10" s="56"/>
      <c r="C10" s="56"/>
      <c r="D10" s="56"/>
      <c r="E10" s="56"/>
      <c r="F10" s="56"/>
      <c r="G10" s="56"/>
      <c r="H10" s="56"/>
      <c r="I10" s="56"/>
      <c r="J10" s="56"/>
      <c r="K10" s="56"/>
      <c r="N10" s="56"/>
      <c r="O10" s="56"/>
      <c r="P10" s="56"/>
      <c r="Q10" s="56"/>
      <c r="R10" s="56"/>
      <c r="S10" s="56"/>
      <c r="T10" s="56"/>
      <c r="U10" s="56"/>
      <c r="V10" s="56"/>
      <c r="W10" s="56"/>
      <c r="X10" s="56"/>
      <c r="Y10" s="56"/>
      <c r="Z10" s="56"/>
      <c r="AA10" s="56"/>
      <c r="AB10" s="56"/>
      <c r="AC10" s="56"/>
      <c r="AD10" s="56"/>
      <c r="AE10" s="56"/>
      <c r="AF10" s="56"/>
      <c r="AG10" s="56"/>
      <c r="AH10" s="56"/>
      <c r="AI10" s="56"/>
      <c r="AJ10" s="56"/>
      <c r="AK10" s="56"/>
      <c r="AL10" s="56"/>
      <c r="AM10" s="56"/>
      <c r="AN10" s="56"/>
      <c r="AO10" s="56"/>
      <c r="AP10" s="56"/>
      <c r="AQ10" s="56"/>
      <c r="AR10" s="56"/>
      <c r="AS10" s="56"/>
      <c r="AU10" s="56"/>
      <c r="AV10" s="56"/>
      <c r="AW10" s="56"/>
      <c r="AX10" s="56"/>
      <c r="AY10" s="56"/>
      <c r="AZ10" s="56"/>
      <c r="BA10" s="56"/>
      <c r="BB10" s="56"/>
      <c r="BC10" s="56"/>
      <c r="BD10" s="56"/>
      <c r="BE10" s="56"/>
      <c r="BF10" s="56"/>
      <c r="BG10" s="56"/>
      <c r="BH10" s="56"/>
      <c r="BI10" s="56"/>
      <c r="BJ10" s="56"/>
      <c r="BK10" s="56"/>
      <c r="BL10" s="56"/>
      <c r="BT10" s="56"/>
      <c r="BU10" s="56"/>
      <c r="BV10" s="56"/>
      <c r="BW10" s="56"/>
      <c r="BX10" s="56"/>
      <c r="BY10" s="56"/>
      <c r="BZ10" s="56"/>
      <c r="CA10" s="56"/>
      <c r="CB10" s="56"/>
      <c r="CC10" s="56"/>
      <c r="CD10" s="56"/>
      <c r="CE10" s="56"/>
      <c r="CF10" s="56"/>
      <c r="CG10" s="56"/>
      <c r="CH10" s="56"/>
      <c r="CI10" s="56"/>
      <c r="CJ10" s="56"/>
      <c r="CK10" s="56"/>
      <c r="CL10" s="56"/>
      <c r="CM10" s="56"/>
      <c r="CN10" s="56"/>
      <c r="CO10" s="56"/>
      <c r="CP10" s="56"/>
      <c r="CQ10" s="56"/>
      <c r="CR10" s="56"/>
      <c r="CS10" s="56"/>
      <c r="CT10" s="56"/>
      <c r="CU10" s="56"/>
      <c r="CV10" s="56"/>
    </row>
  </sheetData>
  <sheetProtection formatCells="0" formatColumns="0" formatRows="0" insertHyperlinks="0" autoFilter="0"/>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GDT"/>
  <dimension ref="A1:BA62"/>
  <sheetViews>
    <sheetView showGridLines="0" showRowColHeaders="0" zoomScaleNormal="100" workbookViewId="0">
      <selection activeCell="N1" sqref="N1:XFD1048576"/>
    </sheetView>
  </sheetViews>
  <sheetFormatPr defaultColWidth="0" defaultRowHeight="14.4" x14ac:dyDescent="0.3"/>
  <cols>
    <col min="1" max="1" width="1" style="98" customWidth="1"/>
    <col min="2" max="6" width="15.6640625" customWidth="1"/>
    <col min="7" max="7" width="15.6640625" style="98" customWidth="1"/>
    <col min="8" max="13" width="15.6640625" customWidth="1"/>
    <col min="14" max="15" width="15.6640625" hidden="1" customWidth="1"/>
    <col min="16" max="16" width="6.109375" hidden="1" customWidth="1"/>
    <col min="17" max="17" width="10.33203125" hidden="1" customWidth="1"/>
    <col min="18" max="18" width="10.6640625" hidden="1" customWidth="1"/>
    <col min="19" max="19" width="6" hidden="1" customWidth="1"/>
    <col min="20" max="20" width="9.6640625" hidden="1" customWidth="1"/>
    <col min="21" max="21" width="11.33203125" hidden="1" customWidth="1"/>
    <col min="22" max="22" width="11.88671875" hidden="1" customWidth="1"/>
    <col min="23" max="23" width="10.109375" hidden="1" customWidth="1"/>
    <col min="24" max="24" width="9.6640625" hidden="1" customWidth="1"/>
    <col min="25" max="25" width="10.109375" hidden="1" customWidth="1"/>
    <col min="26" max="26" width="6" hidden="1" customWidth="1"/>
    <col min="27" max="27" width="10.44140625" hidden="1" customWidth="1"/>
    <col min="28" max="28" width="9.6640625" hidden="1" customWidth="1"/>
    <col min="29" max="30" width="6.109375" hidden="1" customWidth="1"/>
    <col min="31" max="16384" width="6" hidden="1"/>
  </cols>
  <sheetData>
    <row r="1" spans="1:53" s="2" customFormat="1" ht="11.25" customHeight="1" x14ac:dyDescent="0.3">
      <c r="A1" s="117"/>
      <c r="B1" s="117"/>
      <c r="C1" s="92"/>
      <c r="D1" s="92"/>
      <c r="E1" s="92"/>
      <c r="F1" s="92"/>
      <c r="G1" s="92"/>
      <c r="H1" s="92"/>
      <c r="I1" s="111"/>
      <c r="J1" s="111"/>
      <c r="K1" s="111"/>
      <c r="L1" s="111"/>
      <c r="M1" s="111"/>
      <c r="N1" s="111"/>
      <c r="O1" s="111"/>
      <c r="P1" s="118" t="s">
        <v>196</v>
      </c>
      <c r="Q1" s="118" t="s">
        <v>197</v>
      </c>
      <c r="R1" s="118" t="s">
        <v>198</v>
      </c>
      <c r="S1" s="118" t="s">
        <v>9</v>
      </c>
      <c r="T1" s="118" t="s">
        <v>199</v>
      </c>
      <c r="U1" s="118" t="s">
        <v>224</v>
      </c>
      <c r="V1" s="118" t="s">
        <v>201</v>
      </c>
      <c r="W1" s="118" t="s">
        <v>201</v>
      </c>
      <c r="X1" s="118" t="s">
        <v>200</v>
      </c>
      <c r="Y1" s="118" t="s">
        <v>202</v>
      </c>
      <c r="Z1" s="118" t="s">
        <v>203</v>
      </c>
      <c r="AA1" s="118" t="s">
        <v>204</v>
      </c>
      <c r="AB1" s="118" t="s">
        <v>205</v>
      </c>
      <c r="AC1" s="118" t="s">
        <v>3</v>
      </c>
      <c r="AD1" s="118" t="s">
        <v>206</v>
      </c>
      <c r="AE1" s="118" t="s">
        <v>207</v>
      </c>
      <c r="AF1" s="118" t="s">
        <v>208</v>
      </c>
      <c r="AG1" s="118" t="s">
        <v>209</v>
      </c>
      <c r="AH1" s="118"/>
      <c r="AI1" s="118"/>
      <c r="AJ1" s="118"/>
      <c r="AK1" s="118"/>
      <c r="AL1" s="118"/>
      <c r="AM1" s="118"/>
      <c r="AN1" s="118"/>
      <c r="AO1" s="118"/>
      <c r="AP1" s="118"/>
      <c r="AQ1" s="118"/>
      <c r="AR1" s="118"/>
      <c r="AS1" s="118" t="s">
        <v>238</v>
      </c>
      <c r="AT1" s="118" t="s">
        <v>239</v>
      </c>
      <c r="AU1" s="118"/>
      <c r="AV1" s="118"/>
      <c r="AW1" s="118"/>
      <c r="AX1" s="118" t="s">
        <v>214</v>
      </c>
      <c r="AY1" s="118" t="s">
        <v>221</v>
      </c>
      <c r="AZ1" s="118" t="s">
        <v>222</v>
      </c>
    </row>
    <row r="2" spans="1:53" s="2" customFormat="1" ht="20.399999999999999" thickBot="1" x14ac:dyDescent="0.45">
      <c r="A2" s="108"/>
      <c r="B2" s="222"/>
      <c r="C2" s="222"/>
      <c r="D2" s="222"/>
      <c r="E2" s="222"/>
      <c r="F2" s="107"/>
      <c r="G2" s="107"/>
      <c r="H2" s="108"/>
      <c r="I2" s="109"/>
      <c r="J2" s="109"/>
      <c r="K2" s="109"/>
      <c r="L2" s="109"/>
      <c r="M2" s="110"/>
      <c r="N2" s="110"/>
      <c r="O2" s="109"/>
      <c r="P2" s="118" t="s">
        <v>194</v>
      </c>
      <c r="Q2" s="118" t="s">
        <v>210</v>
      </c>
      <c r="R2" s="118" t="s">
        <v>210</v>
      </c>
      <c r="S2" s="118"/>
      <c r="T2" s="118">
        <v>0.5</v>
      </c>
      <c r="U2" s="119">
        <v>1000</v>
      </c>
      <c r="V2" s="119">
        <v>2000</v>
      </c>
      <c r="W2" s="119">
        <v>200</v>
      </c>
      <c r="X2" s="119">
        <v>100</v>
      </c>
      <c r="Y2" s="119">
        <v>500</v>
      </c>
      <c r="Z2" s="118" t="s">
        <v>8</v>
      </c>
      <c r="AA2" s="120">
        <v>44398</v>
      </c>
      <c r="AB2" s="120">
        <v>44411</v>
      </c>
      <c r="AC2" s="118">
        <v>5</v>
      </c>
      <c r="AD2" s="118">
        <v>0</v>
      </c>
      <c r="AE2" s="118">
        <v>0</v>
      </c>
      <c r="AF2" s="118">
        <v>5</v>
      </c>
      <c r="AG2" s="118">
        <v>0</v>
      </c>
      <c r="AH2" s="118"/>
      <c r="AI2" s="118"/>
      <c r="AJ2" s="118"/>
      <c r="AK2" s="118"/>
      <c r="AL2" s="118"/>
      <c r="AM2" s="118"/>
      <c r="AN2" s="118"/>
      <c r="AO2" s="118"/>
      <c r="AP2" s="118"/>
      <c r="AQ2" s="118"/>
      <c r="AR2" s="118"/>
      <c r="AS2" s="118" t="str">
        <f>$Z$2&amp;" "&amp;$U$2</f>
        <v>$ 1000</v>
      </c>
      <c r="AT2" s="118" t="str">
        <f>$Z$2&amp;" "&amp;$Y$2</f>
        <v>$ 500</v>
      </c>
      <c r="AU2" s="118"/>
      <c r="AV2" s="118" t="str">
        <f>IF($AX$2=0,"Planned",IF($AX$2=1,"Completed","In-Progress"))</f>
        <v>In-Progress</v>
      </c>
      <c r="AW2" s="118"/>
      <c r="AX2" s="121">
        <f>T2</f>
        <v>0.5</v>
      </c>
      <c r="AY2" s="121">
        <f>1-AX2</f>
        <v>0.5</v>
      </c>
      <c r="AZ2" s="122">
        <f>IFERROR((Y2-U2)/U2,0)</f>
        <v>-0.5</v>
      </c>
      <c r="BA2" s="114" t="str">
        <f>IF(AZ2&gt;0,TEXT(AZ2,"##%") &amp; " Over Target","")</f>
        <v/>
      </c>
    </row>
    <row r="3" spans="1:53" s="2" customFormat="1" ht="15" customHeight="1" thickTop="1" x14ac:dyDescent="0.3">
      <c r="A3" s="124"/>
      <c r="B3" s="224" t="s">
        <v>11</v>
      </c>
      <c r="C3" s="224"/>
      <c r="D3" s="224"/>
      <c r="E3" s="224"/>
      <c r="F3"/>
      <c r="G3" s="98"/>
      <c r="H3"/>
      <c r="P3" s="118">
        <v>0</v>
      </c>
      <c r="Q3" s="118" t="s">
        <v>211</v>
      </c>
      <c r="R3" s="118" t="s">
        <v>211</v>
      </c>
      <c r="S3" s="118"/>
      <c r="T3" s="118">
        <v>0</v>
      </c>
      <c r="U3" s="119">
        <v>1000</v>
      </c>
      <c r="V3" s="119">
        <v>2000</v>
      </c>
      <c r="W3" s="119">
        <v>200</v>
      </c>
      <c r="X3" s="119">
        <v>100</v>
      </c>
      <c r="Y3" s="119">
        <v>300</v>
      </c>
      <c r="Z3" s="118" t="s">
        <v>8</v>
      </c>
      <c r="AA3" s="120">
        <v>44398</v>
      </c>
      <c r="AB3" s="120">
        <v>44411</v>
      </c>
      <c r="AC3" s="118">
        <v>5</v>
      </c>
      <c r="AD3" s="118">
        <v>0</v>
      </c>
      <c r="AE3" s="118">
        <v>0</v>
      </c>
      <c r="AF3" s="118">
        <v>5</v>
      </c>
      <c r="AG3" s="118">
        <v>0</v>
      </c>
      <c r="AH3" s="118"/>
      <c r="AI3" s="118"/>
      <c r="AJ3" s="118"/>
      <c r="AK3" s="118"/>
      <c r="AL3" s="118"/>
      <c r="AM3" s="118"/>
      <c r="AN3" s="118"/>
      <c r="AO3" s="118"/>
      <c r="AP3" s="118"/>
      <c r="AQ3" s="118"/>
      <c r="AR3" s="118"/>
      <c r="AS3" s="118"/>
      <c r="AT3" s="118"/>
      <c r="AU3" s="118"/>
      <c r="AV3" s="118"/>
      <c r="AW3" s="118"/>
      <c r="AX3" s="118"/>
      <c r="AY3" s="118"/>
      <c r="AZ3" s="118"/>
    </row>
    <row r="4" spans="1:53" s="2" customFormat="1" ht="15" customHeight="1" x14ac:dyDescent="0.3">
      <c r="A4" s="98"/>
      <c r="B4"/>
      <c r="C4"/>
      <c r="D4" s="101" t="s">
        <v>10</v>
      </c>
      <c r="E4" s="102" t="str">
        <f>AV2</f>
        <v>In-Progress</v>
      </c>
      <c r="F4" s="6"/>
      <c r="G4" s="98"/>
      <c r="H4"/>
      <c r="P4" s="118">
        <v>1</v>
      </c>
      <c r="Q4" s="118" t="s">
        <v>212</v>
      </c>
      <c r="R4" s="118" t="s">
        <v>195</v>
      </c>
      <c r="S4" s="118" t="s">
        <v>213</v>
      </c>
      <c r="T4" s="118">
        <v>0</v>
      </c>
      <c r="U4" s="119">
        <v>1000</v>
      </c>
      <c r="V4" s="119">
        <v>2000</v>
      </c>
      <c r="W4" s="119">
        <v>200</v>
      </c>
      <c r="X4" s="119">
        <v>100</v>
      </c>
      <c r="Y4" s="119">
        <v>300</v>
      </c>
      <c r="Z4" s="118" t="s">
        <v>8</v>
      </c>
      <c r="AA4" s="120">
        <v>44398</v>
      </c>
      <c r="AB4" s="120">
        <v>44411</v>
      </c>
      <c r="AC4" s="118">
        <v>5</v>
      </c>
      <c r="AD4" s="118">
        <v>0</v>
      </c>
      <c r="AE4" s="118">
        <v>0</v>
      </c>
      <c r="AF4" s="118">
        <v>5</v>
      </c>
      <c r="AG4" s="118">
        <v>0</v>
      </c>
      <c r="AH4" s="118"/>
      <c r="AI4" s="118"/>
      <c r="AJ4" s="118"/>
      <c r="AK4" s="118"/>
      <c r="AL4" s="118"/>
      <c r="AM4" s="118"/>
      <c r="AN4" s="118"/>
      <c r="AO4" s="118"/>
      <c r="AP4" s="118"/>
      <c r="AQ4" s="118"/>
      <c r="AR4" s="118"/>
      <c r="AS4" s="118"/>
      <c r="AT4" s="118"/>
      <c r="AU4" s="118"/>
      <c r="AV4" s="118"/>
      <c r="AW4" s="118"/>
      <c r="AX4" s="118"/>
      <c r="AY4" s="118"/>
      <c r="AZ4" s="118"/>
    </row>
    <row r="5" spans="1:53" s="2" customFormat="1" ht="15" customHeight="1" x14ac:dyDescent="0.3">
      <c r="A5" s="98"/>
      <c r="B5"/>
      <c r="C5"/>
      <c r="D5" s="103" t="s">
        <v>9</v>
      </c>
      <c r="E5" s="102" t="str">
        <f>IF(S2 = "","",S2)</f>
        <v/>
      </c>
      <c r="F5" s="6"/>
      <c r="G5" s="98"/>
      <c r="H5"/>
    </row>
    <row r="6" spans="1:53" s="2" customFormat="1" ht="15" customHeight="1" x14ac:dyDescent="0.3">
      <c r="A6" s="98"/>
      <c r="B6"/>
      <c r="C6"/>
      <c r="D6" s="103" t="s">
        <v>7</v>
      </c>
      <c r="E6" s="104">
        <f>AA2</f>
        <v>44398</v>
      </c>
      <c r="F6" s="5"/>
      <c r="G6" s="98"/>
      <c r="H6"/>
      <c r="J6" s="13"/>
      <c r="K6" s="13"/>
      <c r="L6" s="13"/>
      <c r="M6" s="13"/>
      <c r="N6" s="13"/>
      <c r="O6" s="13"/>
    </row>
    <row r="7" spans="1:53" s="2" customFormat="1" ht="15" customHeight="1" x14ac:dyDescent="0.3">
      <c r="A7" s="98"/>
      <c r="B7"/>
      <c r="C7"/>
      <c r="D7" s="103" t="s">
        <v>5</v>
      </c>
      <c r="E7" s="104">
        <f>AB2</f>
        <v>44411</v>
      </c>
      <c r="F7" s="5"/>
      <c r="G7" s="98"/>
      <c r="H7"/>
      <c r="J7" s="13"/>
      <c r="K7" s="13"/>
      <c r="L7" s="13"/>
      <c r="M7" s="13"/>
      <c r="N7" s="13"/>
      <c r="O7" s="13"/>
    </row>
    <row r="8" spans="1:53" s="2" customFormat="1" ht="15" customHeight="1" x14ac:dyDescent="0.3">
      <c r="A8" s="98"/>
      <c r="B8"/>
      <c r="C8"/>
      <c r="D8" s="115"/>
      <c r="E8" s="116"/>
      <c r="F8" s="4"/>
      <c r="G8" s="98"/>
      <c r="H8"/>
      <c r="J8" s="13"/>
      <c r="K8" s="13"/>
      <c r="L8" s="13"/>
      <c r="M8" s="13"/>
      <c r="N8" s="13"/>
      <c r="O8" s="13"/>
    </row>
    <row r="9" spans="1:53" s="2" customFormat="1" ht="15" customHeight="1" x14ac:dyDescent="0.3">
      <c r="A9" s="98"/>
      <c r="B9" s="219"/>
      <c r="C9" s="220"/>
      <c r="D9" s="101" t="s">
        <v>3</v>
      </c>
      <c r="E9" s="105">
        <f>AC2</f>
        <v>5</v>
      </c>
      <c r="F9" s="4"/>
      <c r="G9" s="98"/>
      <c r="H9"/>
    </row>
    <row r="10" spans="1:53" s="2" customFormat="1" ht="15" customHeight="1" x14ac:dyDescent="0.3">
      <c r="A10" s="98"/>
      <c r="B10"/>
      <c r="C10"/>
      <c r="D10" s="103" t="s">
        <v>56</v>
      </c>
      <c r="E10" s="105">
        <f>AD2</f>
        <v>0</v>
      </c>
      <c r="F10" s="4"/>
      <c r="G10" s="98"/>
      <c r="H10"/>
    </row>
    <row r="11" spans="1:53" s="2" customFormat="1" ht="15" customHeight="1" x14ac:dyDescent="0.3">
      <c r="A11" s="98"/>
      <c r="B11"/>
      <c r="C11"/>
      <c r="D11" s="103" t="s">
        <v>57</v>
      </c>
      <c r="E11" s="105">
        <f>AE2</f>
        <v>0</v>
      </c>
      <c r="F11" s="4"/>
      <c r="G11" s="98"/>
      <c r="H11"/>
    </row>
    <row r="12" spans="1:53" s="2" customFormat="1" ht="15" customHeight="1" x14ac:dyDescent="0.3">
      <c r="A12" s="98"/>
      <c r="B12"/>
      <c r="C12"/>
      <c r="D12" s="103" t="s">
        <v>58</v>
      </c>
      <c r="E12" s="105">
        <f>AF2</f>
        <v>5</v>
      </c>
      <c r="F12" s="3"/>
      <c r="G12" s="98"/>
      <c r="H12"/>
    </row>
    <row r="13" spans="1:53" s="2" customFormat="1" ht="15" customHeight="1" x14ac:dyDescent="0.3">
      <c r="A13" s="98"/>
      <c r="B13" s="97"/>
      <c r="C13" s="97"/>
      <c r="D13" s="103" t="s">
        <v>59</v>
      </c>
      <c r="E13" s="106">
        <f>AG2</f>
        <v>0</v>
      </c>
      <c r="F13" s="3"/>
      <c r="G13" s="98"/>
      <c r="H13" s="97"/>
    </row>
    <row r="14" spans="1:53" s="2" customFormat="1" ht="15" customHeight="1" x14ac:dyDescent="0.3">
      <c r="A14" s="98"/>
      <c r="B14" s="97"/>
      <c r="C14" s="97"/>
      <c r="D14" s="100"/>
      <c r="E14" s="99"/>
      <c r="F14" s="3"/>
      <c r="G14" s="98"/>
      <c r="H14" s="97"/>
    </row>
    <row r="15" spans="1:53" s="2" customFormat="1" ht="15.6" x14ac:dyDescent="0.3">
      <c r="A15" s="98"/>
      <c r="B15" s="223"/>
      <c r="C15" s="223"/>
      <c r="D15" s="223"/>
      <c r="E15" s="223"/>
      <c r="F15" s="113"/>
      <c r="G15" s="98"/>
      <c r="H15"/>
    </row>
    <row r="16" spans="1:53" s="7" customFormat="1" ht="15" customHeight="1" x14ac:dyDescent="0.3">
      <c r="A16" s="98"/>
      <c r="B16" s="1"/>
      <c r="C16" s="1"/>
      <c r="D16" s="125"/>
      <c r="E16" s="125"/>
      <c r="F16" s="1"/>
      <c r="G16" s="98"/>
      <c r="H16" s="1"/>
    </row>
    <row r="17" spans="1:8" s="2" customFormat="1" x14ac:dyDescent="0.3">
      <c r="A17" s="98"/>
      <c r="B17"/>
      <c r="C17"/>
      <c r="D17" s="1"/>
      <c r="E17" s="1"/>
      <c r="F17"/>
      <c r="G17" s="98"/>
      <c r="H17"/>
    </row>
    <row r="18" spans="1:8" s="2" customFormat="1" ht="15" customHeight="1" x14ac:dyDescent="0.3">
      <c r="A18" s="98"/>
      <c r="B18"/>
      <c r="C18"/>
      <c r="D18" s="221" t="str">
        <f>BA2</f>
        <v/>
      </c>
      <c r="E18" s="221"/>
      <c r="F18"/>
      <c r="G18" s="98"/>
      <c r="H18"/>
    </row>
    <row r="19" spans="1:8" s="2" customFormat="1" ht="15" customHeight="1" x14ac:dyDescent="0.3">
      <c r="A19" s="98"/>
      <c r="B19"/>
      <c r="C19"/>
      <c r="D19"/>
      <c r="E19"/>
      <c r="F19"/>
      <c r="G19" s="98"/>
      <c r="H19"/>
    </row>
    <row r="20" spans="1:8" s="2" customFormat="1" ht="15" customHeight="1" x14ac:dyDescent="0.3">
      <c r="A20" s="98"/>
      <c r="B20" s="218"/>
      <c r="C20" s="218"/>
      <c r="D20"/>
      <c r="E20"/>
      <c r="F20"/>
      <c r="G20" s="98"/>
      <c r="H20"/>
    </row>
    <row r="21" spans="1:8" s="2" customFormat="1" ht="15" customHeight="1" x14ac:dyDescent="0.3">
      <c r="A21" s="98"/>
      <c r="B21"/>
      <c r="C21"/>
      <c r="D21" s="8"/>
      <c r="E21"/>
      <c r="F21"/>
      <c r="G21" s="98"/>
      <c r="H21"/>
    </row>
    <row r="22" spans="1:8" s="2" customFormat="1" ht="15" customHeight="1" x14ac:dyDescent="0.3">
      <c r="A22" s="98"/>
      <c r="B22"/>
      <c r="C22"/>
      <c r="D22"/>
      <c r="E22"/>
      <c r="F22"/>
      <c r="G22" s="98"/>
      <c r="H22"/>
    </row>
    <row r="23" spans="1:8" s="2" customFormat="1" ht="15" customHeight="1" x14ac:dyDescent="0.3">
      <c r="A23" s="98"/>
      <c r="B23"/>
      <c r="C23"/>
      <c r="D23"/>
      <c r="E23"/>
      <c r="F23"/>
      <c r="G23" s="98"/>
      <c r="H23"/>
    </row>
    <row r="24" spans="1:8" s="2" customFormat="1" ht="15" customHeight="1" x14ac:dyDescent="0.3">
      <c r="A24" s="98"/>
      <c r="B24"/>
      <c r="C24"/>
      <c r="D24"/>
      <c r="E24"/>
      <c r="F24"/>
      <c r="G24" s="98"/>
      <c r="H24"/>
    </row>
    <row r="25" spans="1:8" s="2" customFormat="1" ht="15" customHeight="1" x14ac:dyDescent="0.3">
      <c r="A25" s="98"/>
      <c r="B25"/>
      <c r="C25"/>
      <c r="D25"/>
      <c r="E25"/>
      <c r="F25"/>
      <c r="G25" s="98"/>
      <c r="H25"/>
    </row>
    <row r="26" spans="1:8" s="7" customFormat="1" ht="15" customHeight="1" x14ac:dyDescent="0.3">
      <c r="A26" s="98"/>
      <c r="B26"/>
      <c r="C26"/>
      <c r="D26"/>
      <c r="E26"/>
      <c r="F26"/>
      <c r="G26" s="98"/>
      <c r="H26"/>
    </row>
    <row r="27" spans="1:8" s="2" customFormat="1" ht="15" customHeight="1" x14ac:dyDescent="0.3">
      <c r="A27" s="98"/>
      <c r="B27" s="1"/>
      <c r="C27" s="1"/>
      <c r="D27"/>
      <c r="E27"/>
      <c r="F27" s="1"/>
      <c r="G27" s="98"/>
      <c r="H27" s="1"/>
    </row>
    <row r="28" spans="1:8" s="2" customFormat="1" ht="15" customHeight="1" x14ac:dyDescent="0.3">
      <c r="A28" s="98"/>
      <c r="B28"/>
      <c r="C28"/>
      <c r="D28" s="1"/>
      <c r="E28" s="1"/>
      <c r="F28"/>
      <c r="G28" s="98"/>
      <c r="H28"/>
    </row>
    <row r="29" spans="1:8" s="2" customFormat="1" ht="15" customHeight="1" x14ac:dyDescent="0.3">
      <c r="A29" s="98"/>
      <c r="B29"/>
      <c r="C29"/>
      <c r="D29"/>
      <c r="E29"/>
      <c r="F29"/>
      <c r="G29" s="98"/>
      <c r="H29"/>
    </row>
    <row r="30" spans="1:8" s="2" customFormat="1" ht="15" customHeight="1" x14ac:dyDescent="0.3">
      <c r="A30" s="98"/>
      <c r="B30"/>
      <c r="C30"/>
      <c r="D30"/>
      <c r="E30"/>
      <c r="F30"/>
      <c r="G30" s="98"/>
      <c r="H30"/>
    </row>
    <row r="31" spans="1:8" s="2" customFormat="1" ht="15" customHeight="1" x14ac:dyDescent="0.3">
      <c r="A31" s="98"/>
      <c r="B31"/>
      <c r="C31"/>
      <c r="D31"/>
      <c r="E31"/>
      <c r="F31"/>
      <c r="G31" s="98"/>
      <c r="H31"/>
    </row>
    <row r="32" spans="1:8" s="2" customFormat="1" ht="15" customHeight="1" x14ac:dyDescent="0.3">
      <c r="A32" s="98"/>
      <c r="B32"/>
      <c r="C32"/>
      <c r="D32"/>
      <c r="E32"/>
      <c r="F32"/>
      <c r="G32" s="98"/>
      <c r="H32"/>
    </row>
    <row r="33" spans="1:8" s="2" customFormat="1" ht="15" customHeight="1" x14ac:dyDescent="0.3">
      <c r="A33" s="98"/>
      <c r="B33" s="91"/>
      <c r="C33" s="91"/>
      <c r="D33" s="8"/>
      <c r="E33"/>
      <c r="F33" s="91"/>
      <c r="G33" s="98"/>
      <c r="H33" s="91"/>
    </row>
    <row r="34" spans="1:8" s="2" customFormat="1" ht="15" customHeight="1" x14ac:dyDescent="0.3">
      <c r="A34" s="98"/>
      <c r="B34" s="91"/>
      <c r="C34" s="91"/>
      <c r="D34" s="91"/>
      <c r="E34" s="91"/>
      <c r="F34" s="91"/>
      <c r="G34" s="98"/>
      <c r="H34" s="91"/>
    </row>
    <row r="35" spans="1:8" s="2" customFormat="1" ht="15" customHeight="1" x14ac:dyDescent="0.3">
      <c r="A35" s="98"/>
      <c r="B35" s="93"/>
      <c r="C35" s="93"/>
      <c r="D35" s="91"/>
      <c r="E35" s="112"/>
      <c r="F35" s="93"/>
      <c r="G35" s="98"/>
      <c r="H35" s="91"/>
    </row>
    <row r="36" spans="1:8" s="2" customFormat="1" ht="15" customHeight="1" x14ac:dyDescent="0.3">
      <c r="A36" s="98"/>
      <c r="B36" s="93"/>
      <c r="C36" s="93"/>
      <c r="D36" s="93"/>
      <c r="E36" s="93"/>
      <c r="F36" s="93"/>
      <c r="G36" s="98"/>
      <c r="H36" s="91"/>
    </row>
    <row r="37" spans="1:8" s="2" customFormat="1" ht="15" customHeight="1" x14ac:dyDescent="0.3">
      <c r="A37" s="98"/>
      <c r="B37" s="93"/>
      <c r="C37" s="93"/>
      <c r="D37" s="93"/>
      <c r="E37" s="93"/>
      <c r="F37" s="93"/>
      <c r="G37" s="98"/>
      <c r="H37" s="91"/>
    </row>
    <row r="38" spans="1:8" s="2" customFormat="1" ht="15" customHeight="1" x14ac:dyDescent="0.3">
      <c r="A38" s="98"/>
      <c r="B38" s="93"/>
      <c r="C38" s="93"/>
      <c r="D38" s="93"/>
      <c r="E38" s="93"/>
      <c r="F38" s="93"/>
      <c r="G38" s="98"/>
      <c r="H38" s="91"/>
    </row>
    <row r="39" spans="1:8" s="2" customFormat="1" ht="15" customHeight="1" x14ac:dyDescent="0.3">
      <c r="A39" s="98"/>
      <c r="B39" s="93"/>
      <c r="C39" s="93"/>
      <c r="D39" s="93"/>
      <c r="E39" s="93"/>
      <c r="F39" s="93"/>
      <c r="G39" s="98"/>
      <c r="H39" s="91"/>
    </row>
    <row r="40" spans="1:8" s="2" customFormat="1" ht="15" customHeight="1" x14ac:dyDescent="0.3">
      <c r="A40" s="98"/>
      <c r="B40" s="93"/>
      <c r="C40" s="93"/>
      <c r="D40" s="93"/>
      <c r="E40" s="93"/>
      <c r="F40" s="93"/>
      <c r="G40" s="98"/>
      <c r="H40" s="91"/>
    </row>
    <row r="41" spans="1:8" s="2" customFormat="1" ht="15" customHeight="1" x14ac:dyDescent="0.3">
      <c r="A41" s="98"/>
      <c r="B41" s="93"/>
      <c r="C41" s="93"/>
      <c r="D41" s="93"/>
      <c r="E41" s="93"/>
      <c r="F41" s="93"/>
      <c r="G41" s="98"/>
      <c r="H41" s="91"/>
    </row>
    <row r="42" spans="1:8" s="2" customFormat="1" ht="15" customHeight="1" x14ac:dyDescent="0.3">
      <c r="A42" s="98"/>
      <c r="B42"/>
      <c r="C42"/>
      <c r="D42" s="93"/>
      <c r="E42" s="93"/>
      <c r="F42"/>
      <c r="G42" s="98"/>
      <c r="H42"/>
    </row>
    <row r="43" spans="1:8" s="2" customFormat="1" ht="15" customHeight="1" x14ac:dyDescent="0.3">
      <c r="A43" s="98"/>
      <c r="B43" s="1"/>
      <c r="C43" s="1"/>
      <c r="D43"/>
      <c r="E43"/>
      <c r="F43" s="1"/>
      <c r="G43" s="98"/>
      <c r="H43"/>
    </row>
    <row r="44" spans="1:8" s="2" customFormat="1" ht="15" customHeight="1" x14ac:dyDescent="0.3">
      <c r="A44" s="98"/>
      <c r="B44" s="1"/>
      <c r="C44" s="1"/>
      <c r="D44" s="1"/>
      <c r="E44" s="1"/>
      <c r="F44" s="1"/>
      <c r="G44" s="98"/>
      <c r="H44"/>
    </row>
    <row r="45" spans="1:8" ht="15" customHeight="1" x14ac:dyDescent="0.3">
      <c r="D45" s="1"/>
      <c r="E45" s="1"/>
    </row>
    <row r="46" spans="1:8" ht="15" customHeight="1" x14ac:dyDescent="0.3"/>
    <row r="47" spans="1:8" ht="15" customHeight="1" x14ac:dyDescent="0.3"/>
    <row r="48" spans="1: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sheetData>
  <sheetProtection formatCells="0" formatColumns="0" formatRows="0" insertHyperlinks="0" autoFilter="0"/>
  <mergeCells count="6">
    <mergeCell ref="B20:C20"/>
    <mergeCell ref="B9:C9"/>
    <mergeCell ref="D18:E18"/>
    <mergeCell ref="B2:E2"/>
    <mergeCell ref="B15:E15"/>
    <mergeCell ref="B3:E3"/>
  </mergeCells>
  <conditionalFormatting sqref="E13:E14">
    <cfRule type="cellIs" dxfId="0" priority="5" operator="greaterThan">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RefreshDashboard">
              <controlPr defaultSize="0" print="0" autoFill="0" autoPict="0" macro="[0]!refreshdashbutton">
                <anchor>
                  <from>
                    <xdr:col>5</xdr:col>
                    <xdr:colOff>144780</xdr:colOff>
                    <xdr:row>1</xdr:row>
                    <xdr:rowOff>22860</xdr:rowOff>
                  </from>
                  <to>
                    <xdr:col>5</xdr:col>
                    <xdr:colOff>678180</xdr:colOff>
                    <xdr:row>1</xdr:row>
                    <xdr:rowOff>228600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VS"/>
  <dimension ref="A1:BU10"/>
  <sheetViews>
    <sheetView workbookViewId="0">
      <selection activeCell="B93" sqref="B93"/>
    </sheetView>
  </sheetViews>
  <sheetFormatPr defaultRowHeight="14.4" x14ac:dyDescent="0.3"/>
  <cols>
    <col min="1" max="1" width="13.109375" bestFit="1" customWidth="1"/>
    <col min="2" max="2" width="11.5546875" bestFit="1" customWidth="1"/>
    <col min="6" max="8" width="9.109375" style="128"/>
    <col min="10" max="11" width="13.109375" bestFit="1" customWidth="1"/>
    <col min="12" max="12" width="11.5546875" bestFit="1" customWidth="1"/>
    <col min="13" max="13" width="8.6640625" bestFit="1" customWidth="1"/>
    <col min="14" max="14" width="8.33203125" bestFit="1" customWidth="1"/>
    <col min="15" max="17" width="8.33203125" style="128" customWidth="1"/>
    <col min="18" max="18" width="11.33203125" bestFit="1" customWidth="1"/>
    <col min="21" max="21" width="14.33203125" bestFit="1" customWidth="1"/>
    <col min="22" max="22" width="7.109375" bestFit="1" customWidth="1"/>
    <col min="23" max="23" width="11" bestFit="1" customWidth="1"/>
    <col min="24" max="26" width="11" style="128" customWidth="1"/>
    <col min="27" max="27" width="11" bestFit="1" customWidth="1"/>
    <col min="31" max="31" width="12" bestFit="1" customWidth="1"/>
    <col min="32" max="32" width="17.88671875" bestFit="1" customWidth="1"/>
    <col min="33" max="33" width="31.33203125" bestFit="1" customWidth="1"/>
    <col min="34" max="35" width="31.33203125" style="128" customWidth="1"/>
    <col min="36" max="36" width="31.33203125" bestFit="1" customWidth="1"/>
    <col min="37" max="37" width="33.109375" bestFit="1" customWidth="1"/>
    <col min="38" max="39" width="36.33203125" style="127" bestFit="1" customWidth="1"/>
    <col min="40" max="40" width="14.33203125" bestFit="1" customWidth="1"/>
    <col min="41" max="41" width="22.33203125" bestFit="1" customWidth="1"/>
    <col min="42" max="42" width="13.109375" bestFit="1" customWidth="1"/>
    <col min="43" max="43" width="11.5546875" bestFit="1" customWidth="1"/>
    <col min="47" max="49" width="9.109375" style="128"/>
    <col min="53" max="53" width="13.109375" bestFit="1" customWidth="1"/>
    <col min="54" max="54" width="7.109375" bestFit="1" customWidth="1"/>
    <col min="57" max="59" width="9.109375" style="128"/>
    <col min="63" max="63" width="12" bestFit="1" customWidth="1"/>
    <col min="64" max="64" width="7.109375" bestFit="1" customWidth="1"/>
    <col min="66" max="70" width="9.109375" style="128"/>
    <col min="72" max="72" width="12" bestFit="1" customWidth="1"/>
    <col min="73" max="73" width="7.109375" bestFit="1" customWidth="1"/>
    <col min="76" max="76" width="12" bestFit="1" customWidth="1"/>
    <col min="77" max="77" width="17.88671875" bestFit="1" customWidth="1"/>
    <col min="81" max="81" width="12" bestFit="1" customWidth="1"/>
    <col min="82" max="82" width="17.88671875" bestFit="1" customWidth="1"/>
  </cols>
  <sheetData>
    <row r="1" spans="1:73" x14ac:dyDescent="0.3">
      <c r="A1" s="94" t="s">
        <v>215</v>
      </c>
      <c r="B1" s="130" t="s">
        <v>241</v>
      </c>
      <c r="K1" s="94" t="s">
        <v>215</v>
      </c>
      <c r="L1" s="130" t="s">
        <v>241</v>
      </c>
      <c r="U1" s="94" t="s">
        <v>215</v>
      </c>
      <c r="V1" s="130" t="s">
        <v>241</v>
      </c>
      <c r="AE1" s="94" t="s">
        <v>215</v>
      </c>
      <c r="AF1" s="130" t="s">
        <v>241</v>
      </c>
      <c r="AP1" s="94" t="s">
        <v>215</v>
      </c>
      <c r="AQ1" s="130" t="s">
        <v>241</v>
      </c>
      <c r="BA1" s="94" t="s">
        <v>215</v>
      </c>
      <c r="BB1" s="130" t="s">
        <v>241</v>
      </c>
      <c r="BK1" s="94" t="s">
        <v>215</v>
      </c>
      <c r="BL1" s="130" t="s">
        <v>241</v>
      </c>
      <c r="BT1" s="94" t="s">
        <v>215</v>
      </c>
      <c r="BU1" s="130" t="s">
        <v>241</v>
      </c>
    </row>
    <row r="2" spans="1:73" x14ac:dyDescent="0.3">
      <c r="A2" s="94" t="s">
        <v>171</v>
      </c>
      <c r="B2" s="130" t="s">
        <v>241</v>
      </c>
      <c r="K2" s="94" t="s">
        <v>171</v>
      </c>
      <c r="L2" s="130" t="s">
        <v>241</v>
      </c>
      <c r="U2" s="94" t="s">
        <v>171</v>
      </c>
      <c r="V2" s="130" t="s">
        <v>241</v>
      </c>
      <c r="AE2" s="94" t="s">
        <v>234</v>
      </c>
      <c r="AF2" s="130" t="s">
        <v>219</v>
      </c>
      <c r="AP2" s="94" t="s">
        <v>171</v>
      </c>
      <c r="AQ2" s="130" t="s">
        <v>241</v>
      </c>
      <c r="BA2" s="94" t="s">
        <v>171</v>
      </c>
      <c r="BB2" s="130" t="s">
        <v>241</v>
      </c>
      <c r="BK2" s="94" t="s">
        <v>171</v>
      </c>
      <c r="BL2" s="130" t="s">
        <v>241</v>
      </c>
      <c r="BT2" s="94" t="s">
        <v>171</v>
      </c>
      <c r="BU2" s="130" t="s">
        <v>241</v>
      </c>
    </row>
    <row r="3" spans="1:73" x14ac:dyDescent="0.3">
      <c r="AP3" s="123"/>
      <c r="AQ3" s="123"/>
      <c r="BA3" s="127"/>
      <c r="BB3" s="127"/>
    </row>
    <row r="4" spans="1:73" x14ac:dyDescent="0.3">
      <c r="A4" s="94" t="s">
        <v>216</v>
      </c>
      <c r="B4" t="s">
        <v>217</v>
      </c>
      <c r="K4" s="94" t="s">
        <v>216</v>
      </c>
      <c r="L4" t="s">
        <v>217</v>
      </c>
      <c r="U4" s="94" t="s">
        <v>218</v>
      </c>
      <c r="AL4"/>
      <c r="AM4"/>
      <c r="AP4" s="94" t="s">
        <v>216</v>
      </c>
      <c r="AQ4" t="s">
        <v>217</v>
      </c>
      <c r="BA4" s="94" t="s">
        <v>216</v>
      </c>
    </row>
    <row r="5" spans="1:73" x14ac:dyDescent="0.3">
      <c r="A5" s="96" t="s">
        <v>56</v>
      </c>
      <c r="B5" s="95">
        <v>1</v>
      </c>
      <c r="K5" s="96" t="s">
        <v>237</v>
      </c>
      <c r="L5" s="95">
        <v>1</v>
      </c>
      <c r="U5" s="96" t="s">
        <v>192</v>
      </c>
      <c r="V5" s="129"/>
      <c r="AL5"/>
      <c r="AM5"/>
      <c r="AP5" s="126" t="s">
        <v>242</v>
      </c>
      <c r="AQ5" s="95">
        <v>1</v>
      </c>
      <c r="BA5" s="96" t="s">
        <v>235</v>
      </c>
    </row>
    <row r="6" spans="1:73" x14ac:dyDescent="0.3">
      <c r="A6" s="96" t="s">
        <v>244</v>
      </c>
      <c r="B6" s="95">
        <v>1</v>
      </c>
      <c r="K6" s="96" t="s">
        <v>236</v>
      </c>
      <c r="L6" s="95">
        <v>1</v>
      </c>
      <c r="U6" s="96" t="s">
        <v>220</v>
      </c>
      <c r="V6" s="129"/>
      <c r="AL6"/>
      <c r="AM6"/>
      <c r="AP6" s="126" t="s">
        <v>240</v>
      </c>
      <c r="AQ6" s="95">
        <v>3</v>
      </c>
    </row>
    <row r="7" spans="1:73" x14ac:dyDescent="0.3">
      <c r="A7" s="96" t="s">
        <v>59</v>
      </c>
      <c r="B7" s="95">
        <v>1</v>
      </c>
      <c r="K7" s="96" t="s">
        <v>168</v>
      </c>
      <c r="L7" s="95">
        <v>2</v>
      </c>
      <c r="U7" s="96" t="s">
        <v>193</v>
      </c>
      <c r="V7" s="129"/>
      <c r="AL7"/>
      <c r="AM7"/>
    </row>
    <row r="8" spans="1:73" x14ac:dyDescent="0.3">
      <c r="A8" s="96" t="s">
        <v>58</v>
      </c>
      <c r="B8" s="95">
        <v>1</v>
      </c>
      <c r="AL8"/>
      <c r="AM8"/>
    </row>
    <row r="9" spans="1:73" x14ac:dyDescent="0.3">
      <c r="AL9"/>
      <c r="AM9"/>
    </row>
    <row r="10" spans="1:73" x14ac:dyDescent="0.3">
      <c r="AL10"/>
    </row>
  </sheetData>
  <pageMargins left="0.7" right="0.7" top="0.75" bottom="0.75" header="0.3" footer="0.3"/>
  <drawing r:id="rId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W36"/>
  <sheetViews>
    <sheetView showGridLines="0" showRowColHeaders="0" tabSelected="1" topLeftCell="H9" zoomScale="55" zoomScaleNormal="55" workbookViewId="0">
      <selection activeCell="W24" sqref="W24"/>
    </sheetView>
  </sheetViews>
  <sheetFormatPr defaultColWidth="0" defaultRowHeight="14.4" x14ac:dyDescent="0.3"/>
  <cols>
    <col min="1" max="7" width="0" style="134" hidden="1" customWidth="1"/>
    <col min="8" max="9" width="2.6640625" style="134" customWidth="1"/>
    <col min="10" max="10" width="4.5546875" style="195" bestFit="1" customWidth="1"/>
    <col min="11" max="11" width="45.6640625" style="136" customWidth="1"/>
    <col min="12" max="12" width="10.6640625" style="138" customWidth="1"/>
    <col min="13" max="13" width="10.6640625" style="134" hidden="1" customWidth="1"/>
    <col min="14" max="14" width="15.6640625" style="136" customWidth="1"/>
    <col min="15" max="18" width="15.6640625" style="137" hidden="1" customWidth="1"/>
    <col min="19" max="20" width="15.6640625" style="137" customWidth="1"/>
    <col min="21" max="21" width="10.6640625" style="137" customWidth="1"/>
    <col min="22" max="22" width="15.6640625" style="134" hidden="1" customWidth="1"/>
    <col min="23" max="23" width="5.6640625" style="134" customWidth="1"/>
    <col min="24" max="24" width="10.6640625" style="135" customWidth="1"/>
    <col min="25" max="30" width="15.6640625" style="137" hidden="1" customWidth="1"/>
    <col min="31" max="31" width="15.6640625" style="139" hidden="1" customWidth="1"/>
    <col min="32" max="55" width="15.6640625" style="134" hidden="1" customWidth="1"/>
    <col min="56" max="56" width="2.6640625" style="134" customWidth="1"/>
    <col min="57" max="91" width="3.77734375" customWidth="1"/>
    <col min="92" max="101" width="10.6640625" hidden="1" customWidth="1"/>
    <col min="102" max="16384" width="10.77734375" hidden="1"/>
  </cols>
  <sheetData>
    <row r="1" spans="1:101" hidden="1" x14ac:dyDescent="0.3">
      <c r="A1" s="134" t="s">
        <v>234</v>
      </c>
      <c r="B1" s="134" t="s">
        <v>226</v>
      </c>
      <c r="C1" s="134" t="s">
        <v>227</v>
      </c>
      <c r="D1" s="134" t="s">
        <v>228</v>
      </c>
      <c r="E1" s="134" t="s">
        <v>229</v>
      </c>
      <c r="F1" s="134" t="s">
        <v>230</v>
      </c>
      <c r="G1" s="134" t="s">
        <v>160</v>
      </c>
      <c r="H1" s="134" t="s">
        <v>161</v>
      </c>
      <c r="I1" s="134" t="s">
        <v>231</v>
      </c>
      <c r="J1" s="195" t="s">
        <v>27</v>
      </c>
      <c r="K1" s="136" t="s">
        <v>26</v>
      </c>
      <c r="L1" s="138" t="s">
        <v>137</v>
      </c>
      <c r="M1" s="134" t="s">
        <v>138</v>
      </c>
      <c r="N1" s="136" t="s">
        <v>225</v>
      </c>
      <c r="O1" s="137" t="s">
        <v>232</v>
      </c>
      <c r="P1" s="137" t="s">
        <v>25</v>
      </c>
      <c r="Q1" s="137" t="s">
        <v>24</v>
      </c>
      <c r="R1" s="137" t="s">
        <v>23</v>
      </c>
      <c r="S1" s="137" t="s">
        <v>22</v>
      </c>
      <c r="T1" s="137" t="s">
        <v>20</v>
      </c>
      <c r="U1" s="137" t="s">
        <v>18</v>
      </c>
      <c r="V1" s="134" t="s">
        <v>223</v>
      </c>
      <c r="W1" s="134" t="s">
        <v>233</v>
      </c>
      <c r="X1" s="135" t="s">
        <v>17</v>
      </c>
      <c r="Y1" s="137" t="s">
        <v>21</v>
      </c>
      <c r="Z1" s="137" t="s">
        <v>19</v>
      </c>
      <c r="AA1" s="137" t="s">
        <v>16</v>
      </c>
      <c r="AB1" s="137" t="s">
        <v>15</v>
      </c>
      <c r="AC1" s="137" t="s">
        <v>14</v>
      </c>
      <c r="AD1" s="137" t="s">
        <v>13</v>
      </c>
      <c r="AE1" s="139" t="s">
        <v>12</v>
      </c>
      <c r="AF1" s="134" t="s">
        <v>162</v>
      </c>
      <c r="AG1" s="134" t="s">
        <v>163</v>
      </c>
      <c r="AH1" s="134" t="s">
        <v>164</v>
      </c>
      <c r="AI1" s="134" t="s">
        <v>165</v>
      </c>
      <c r="AJ1" s="134" t="s">
        <v>172</v>
      </c>
      <c r="AK1" s="134" t="s">
        <v>173</v>
      </c>
      <c r="AL1" s="134" t="s">
        <v>174</v>
      </c>
      <c r="AM1" s="134" t="s">
        <v>175</v>
      </c>
      <c r="AN1" s="134" t="s">
        <v>176</v>
      </c>
      <c r="AO1" s="134" t="s">
        <v>177</v>
      </c>
      <c r="AP1" s="134" t="s">
        <v>178</v>
      </c>
      <c r="AQ1" s="134" t="s">
        <v>179</v>
      </c>
      <c r="AR1" s="134" t="s">
        <v>180</v>
      </c>
      <c r="AS1" s="134" t="s">
        <v>181</v>
      </c>
      <c r="AT1" s="134" t="s">
        <v>182</v>
      </c>
      <c r="AU1" s="134" t="s">
        <v>183</v>
      </c>
      <c r="AV1" s="134" t="s">
        <v>184</v>
      </c>
      <c r="AW1" s="134" t="s">
        <v>185</v>
      </c>
      <c r="AX1" s="134" t="s">
        <v>186</v>
      </c>
      <c r="AY1" s="134" t="s">
        <v>187</v>
      </c>
      <c r="AZ1" s="134" t="s">
        <v>188</v>
      </c>
      <c r="BA1" s="134" t="s">
        <v>189</v>
      </c>
      <c r="BB1" s="134" t="s">
        <v>190</v>
      </c>
      <c r="BC1" s="134" t="s">
        <v>191</v>
      </c>
      <c r="BD1" s="134" t="s">
        <v>166</v>
      </c>
      <c r="BE1" t="s">
        <v>279</v>
      </c>
      <c r="CM1" t="s">
        <v>280</v>
      </c>
    </row>
    <row r="2" spans="1:101" hidden="1" x14ac:dyDescent="0.3">
      <c r="A2" s="134" t="s">
        <v>263</v>
      </c>
      <c r="B2" s="134" t="s">
        <v>263</v>
      </c>
      <c r="C2" s="134" t="s">
        <v>263</v>
      </c>
      <c r="D2" s="134" t="s">
        <v>263</v>
      </c>
      <c r="E2" s="134" t="s">
        <v>263</v>
      </c>
      <c r="F2" s="134" t="s">
        <v>263</v>
      </c>
      <c r="G2" s="134" t="s">
        <v>263</v>
      </c>
      <c r="H2" s="134">
        <v>1</v>
      </c>
      <c r="I2" s="134" t="s">
        <v>263</v>
      </c>
      <c r="J2" s="195" t="s">
        <v>263</v>
      </c>
      <c r="K2" s="136" t="s">
        <v>263</v>
      </c>
      <c r="L2" s="138" t="s">
        <v>263</v>
      </c>
      <c r="M2" s="134" t="s">
        <v>263</v>
      </c>
      <c r="N2" s="136" t="s">
        <v>263</v>
      </c>
      <c r="O2" s="137" t="s">
        <v>263</v>
      </c>
      <c r="P2" s="137" t="s">
        <v>263</v>
      </c>
      <c r="Q2" s="137" t="s">
        <v>263</v>
      </c>
      <c r="R2" s="137" t="s">
        <v>263</v>
      </c>
      <c r="S2" s="137" t="s">
        <v>263</v>
      </c>
      <c r="T2" s="137" t="s">
        <v>263</v>
      </c>
      <c r="U2" s="137" t="s">
        <v>263</v>
      </c>
      <c r="V2" s="134" t="s">
        <v>263</v>
      </c>
      <c r="W2" s="134" t="s">
        <v>263</v>
      </c>
      <c r="X2" s="135" t="s">
        <v>263</v>
      </c>
      <c r="Y2" s="137" t="s">
        <v>263</v>
      </c>
      <c r="Z2" s="137" t="s">
        <v>263</v>
      </c>
      <c r="AA2" s="137" t="s">
        <v>263</v>
      </c>
      <c r="AB2" s="137" t="s">
        <v>263</v>
      </c>
      <c r="AC2" s="137" t="s">
        <v>263</v>
      </c>
      <c r="AD2" s="137" t="s">
        <v>263</v>
      </c>
      <c r="AE2" s="139" t="s">
        <v>263</v>
      </c>
      <c r="AF2" s="134" t="s">
        <v>263</v>
      </c>
      <c r="AG2" s="134" t="s">
        <v>263</v>
      </c>
      <c r="AH2" s="134" t="s">
        <v>263</v>
      </c>
      <c r="AI2" s="134" t="s">
        <v>263</v>
      </c>
      <c r="AJ2" s="134" t="s">
        <v>172</v>
      </c>
      <c r="AK2" s="134" t="s">
        <v>173</v>
      </c>
      <c r="AL2" s="134" t="s">
        <v>174</v>
      </c>
      <c r="AM2" s="134" t="s">
        <v>175</v>
      </c>
      <c r="AN2" s="134" t="s">
        <v>176</v>
      </c>
      <c r="AO2" s="134" t="s">
        <v>177</v>
      </c>
      <c r="AP2" s="134" t="s">
        <v>178</v>
      </c>
      <c r="AQ2" s="134" t="s">
        <v>179</v>
      </c>
      <c r="AR2" s="134" t="s">
        <v>180</v>
      </c>
      <c r="AS2" s="134" t="s">
        <v>181</v>
      </c>
      <c r="AT2" s="134" t="s">
        <v>182</v>
      </c>
      <c r="AU2" s="134" t="s">
        <v>183</v>
      </c>
      <c r="AV2" s="134" t="s">
        <v>184</v>
      </c>
      <c r="AW2" s="134" t="s">
        <v>185</v>
      </c>
      <c r="AX2" s="134" t="s">
        <v>186</v>
      </c>
      <c r="AY2" s="134" t="s">
        <v>187</v>
      </c>
      <c r="AZ2" s="134" t="s">
        <v>188</v>
      </c>
      <c r="BA2" s="134" t="s">
        <v>189</v>
      </c>
      <c r="BB2" s="134" t="s">
        <v>190</v>
      </c>
      <c r="BC2" s="134" t="s">
        <v>191</v>
      </c>
      <c r="BD2" s="134" t="s">
        <v>263</v>
      </c>
    </row>
    <row r="3" spans="1:101" hidden="1" x14ac:dyDescent="0.3"/>
    <row r="4" spans="1:101" hidden="1" x14ac:dyDescent="0.3"/>
    <row r="5" spans="1:101" hidden="1" x14ac:dyDescent="0.3"/>
    <row r="6" spans="1:101" ht="24" customHeight="1" x14ac:dyDescent="0.3">
      <c r="H6" s="140"/>
      <c r="I6" s="140"/>
      <c r="J6" s="196" t="s">
        <v>324</v>
      </c>
      <c r="K6" s="141"/>
      <c r="L6" s="142"/>
      <c r="M6" s="140"/>
      <c r="N6" s="141"/>
      <c r="O6" s="143"/>
      <c r="P6" s="143"/>
      <c r="Q6" s="143"/>
      <c r="R6" s="143"/>
      <c r="S6" s="143"/>
      <c r="T6" s="143"/>
      <c r="U6" s="143"/>
      <c r="V6" s="140"/>
      <c r="W6" s="140"/>
      <c r="X6" s="144"/>
      <c r="Y6" s="143"/>
      <c r="Z6" s="143"/>
      <c r="AA6" s="143"/>
      <c r="AB6" s="143"/>
      <c r="AC6" s="143"/>
      <c r="AD6" s="143"/>
      <c r="AE6" s="145"/>
      <c r="AF6" s="140"/>
      <c r="AG6" s="140"/>
      <c r="AH6" s="140"/>
      <c r="AI6" s="140"/>
      <c r="AJ6" s="140"/>
      <c r="AK6" s="140"/>
      <c r="AL6" s="140"/>
      <c r="AM6" s="140"/>
      <c r="AN6" s="140"/>
      <c r="AO6" s="140"/>
      <c r="AP6" s="140"/>
      <c r="AQ6" s="140"/>
      <c r="AR6" s="140"/>
      <c r="AS6" s="140"/>
      <c r="AT6" s="140"/>
      <c r="AU6" s="140"/>
      <c r="AV6" s="140"/>
      <c r="AW6" s="140"/>
      <c r="AX6" s="140"/>
      <c r="AY6" s="140"/>
      <c r="AZ6" s="140"/>
      <c r="BA6" s="140"/>
      <c r="BB6" s="140"/>
      <c r="BC6" s="140"/>
      <c r="BD6" s="140"/>
      <c r="BE6" s="146">
        <v>44529</v>
      </c>
      <c r="BF6" s="146">
        <v>44530</v>
      </c>
      <c r="BG6" s="146">
        <v>44531</v>
      </c>
      <c r="BH6" s="146">
        <v>44532</v>
      </c>
      <c r="BI6" s="146">
        <v>44533</v>
      </c>
      <c r="BJ6" s="146">
        <v>44534</v>
      </c>
      <c r="BK6" s="146">
        <v>44535</v>
      </c>
      <c r="BL6" s="146">
        <v>44536</v>
      </c>
      <c r="BM6" s="146">
        <v>44537</v>
      </c>
      <c r="BN6" s="146">
        <v>44538</v>
      </c>
      <c r="BO6" s="146">
        <v>44539</v>
      </c>
      <c r="BP6" s="146">
        <v>44540</v>
      </c>
      <c r="BQ6" s="146">
        <v>44541</v>
      </c>
      <c r="BR6" s="146">
        <v>44542</v>
      </c>
      <c r="BS6" s="146">
        <v>44543</v>
      </c>
      <c r="BT6" s="146">
        <v>44544</v>
      </c>
      <c r="BU6" s="146">
        <v>44545</v>
      </c>
      <c r="BV6" s="146">
        <v>44546</v>
      </c>
      <c r="BW6" s="146">
        <v>44547</v>
      </c>
      <c r="BX6" s="146">
        <v>44548</v>
      </c>
      <c r="BY6" s="146">
        <v>44549</v>
      </c>
      <c r="BZ6" s="146">
        <v>44550</v>
      </c>
      <c r="CA6" s="146">
        <v>44551</v>
      </c>
      <c r="CB6" s="146">
        <v>44552</v>
      </c>
      <c r="CC6" s="146">
        <v>44553</v>
      </c>
      <c r="CD6" s="146">
        <v>44554</v>
      </c>
      <c r="CE6" s="146">
        <v>44555</v>
      </c>
      <c r="CF6" s="146">
        <v>44556</v>
      </c>
      <c r="CG6" s="146">
        <v>44557</v>
      </c>
      <c r="CH6" s="146">
        <v>44558</v>
      </c>
      <c r="CI6" s="146">
        <v>44559</v>
      </c>
      <c r="CJ6" s="146">
        <v>44560</v>
      </c>
      <c r="CK6" s="146">
        <v>44561</v>
      </c>
      <c r="CL6" s="146">
        <v>44562</v>
      </c>
      <c r="CM6" s="146">
        <v>44563</v>
      </c>
    </row>
    <row r="7" spans="1:101" x14ac:dyDescent="0.3">
      <c r="J7" s="197" t="s">
        <v>325</v>
      </c>
      <c r="BE7" s="147" t="s">
        <v>289</v>
      </c>
      <c r="BF7" s="147"/>
      <c r="BG7" s="147"/>
      <c r="BH7" s="147"/>
      <c r="BI7" s="147"/>
      <c r="BJ7" s="147"/>
      <c r="BK7" s="147"/>
      <c r="BL7" s="148" t="s">
        <v>290</v>
      </c>
      <c r="BM7" s="148"/>
      <c r="BN7" s="148"/>
      <c r="BO7" s="148"/>
      <c r="BP7" s="148"/>
      <c r="BQ7" s="148"/>
      <c r="BR7" s="148"/>
      <c r="BS7" s="147" t="s">
        <v>291</v>
      </c>
      <c r="BT7" s="147"/>
      <c r="BU7" s="147"/>
      <c r="BV7" s="147"/>
      <c r="BW7" s="147"/>
      <c r="BX7" s="147"/>
      <c r="BY7" s="147"/>
      <c r="BZ7" s="148" t="s">
        <v>292</v>
      </c>
      <c r="CA7" s="148"/>
      <c r="CB7" s="148"/>
      <c r="CC7" s="148"/>
      <c r="CD7" s="148"/>
      <c r="CE7" s="148"/>
      <c r="CF7" s="148"/>
      <c r="CG7" s="147" t="s">
        <v>293</v>
      </c>
      <c r="CH7" s="147"/>
      <c r="CI7" s="147"/>
      <c r="CJ7" s="147"/>
      <c r="CK7" s="147"/>
      <c r="CL7" s="147"/>
      <c r="CM7" s="147"/>
    </row>
    <row r="8" spans="1:101" x14ac:dyDescent="0.3">
      <c r="H8" s="164"/>
      <c r="I8" s="164"/>
      <c r="J8" s="215" t="s">
        <v>326</v>
      </c>
      <c r="K8" s="165"/>
      <c r="L8" s="166"/>
      <c r="M8" s="164"/>
      <c r="N8" s="165"/>
      <c r="O8" s="167"/>
      <c r="P8" s="167"/>
      <c r="Q8" s="167"/>
      <c r="R8" s="167"/>
      <c r="S8" s="167"/>
      <c r="T8" s="167"/>
      <c r="U8" s="167"/>
      <c r="V8" s="164"/>
      <c r="W8" s="164"/>
      <c r="X8" s="168"/>
      <c r="Y8" s="167"/>
      <c r="Z8" s="167"/>
      <c r="AA8" s="167"/>
      <c r="AB8" s="167"/>
      <c r="AC8" s="167"/>
      <c r="AD8" s="167"/>
      <c r="AE8" s="169"/>
      <c r="AF8" s="164"/>
      <c r="AG8" s="164"/>
      <c r="AH8" s="164"/>
      <c r="AI8" s="164"/>
      <c r="AJ8" s="164"/>
      <c r="AK8" s="164"/>
      <c r="AL8" s="164"/>
      <c r="AM8" s="164"/>
      <c r="AN8" s="164"/>
      <c r="AO8" s="164"/>
      <c r="AP8" s="164"/>
      <c r="AQ8" s="164"/>
      <c r="AR8" s="164"/>
      <c r="AS8" s="164"/>
      <c r="AT8" s="164"/>
      <c r="AU8" s="164"/>
      <c r="AV8" s="164"/>
      <c r="AW8" s="164"/>
      <c r="AX8" s="164"/>
      <c r="AY8" s="164"/>
      <c r="AZ8" s="164"/>
      <c r="BA8" s="164"/>
      <c r="BB8" s="164"/>
      <c r="BC8" s="164"/>
      <c r="BD8" s="170"/>
      <c r="BE8" s="171">
        <v>29</v>
      </c>
      <c r="BF8" s="171">
        <v>30</v>
      </c>
      <c r="BG8" s="171">
        <v>1</v>
      </c>
      <c r="BH8" s="171">
        <v>2</v>
      </c>
      <c r="BI8" s="171">
        <v>3</v>
      </c>
      <c r="BJ8" s="171">
        <v>4</v>
      </c>
      <c r="BK8" s="171">
        <v>5</v>
      </c>
      <c r="BL8" s="171">
        <v>6</v>
      </c>
      <c r="BM8" s="171">
        <v>7</v>
      </c>
      <c r="BN8" s="171">
        <v>8</v>
      </c>
      <c r="BO8" s="171">
        <v>9</v>
      </c>
      <c r="BP8" s="171">
        <v>10</v>
      </c>
      <c r="BQ8" s="171">
        <v>11</v>
      </c>
      <c r="BR8" s="171">
        <v>12</v>
      </c>
      <c r="BS8" s="171">
        <v>13</v>
      </c>
      <c r="BT8" s="171">
        <v>14</v>
      </c>
      <c r="BU8" s="171">
        <v>15</v>
      </c>
      <c r="BV8" s="171">
        <v>16</v>
      </c>
      <c r="BW8" s="171">
        <v>17</v>
      </c>
      <c r="BX8" s="171">
        <v>18</v>
      </c>
      <c r="BY8" s="171">
        <v>19</v>
      </c>
      <c r="BZ8" s="171">
        <v>20</v>
      </c>
      <c r="CA8" s="171">
        <v>21</v>
      </c>
      <c r="CB8" s="171">
        <v>22</v>
      </c>
      <c r="CC8" s="171">
        <v>23</v>
      </c>
      <c r="CD8" s="171">
        <v>24</v>
      </c>
      <c r="CE8" s="171">
        <v>25</v>
      </c>
      <c r="CF8" s="171">
        <v>26</v>
      </c>
      <c r="CG8" s="171">
        <v>27</v>
      </c>
      <c r="CH8" s="171">
        <v>28</v>
      </c>
      <c r="CI8" s="171">
        <v>29</v>
      </c>
      <c r="CJ8" s="171">
        <v>30</v>
      </c>
      <c r="CK8" s="171">
        <v>31</v>
      </c>
      <c r="CL8" s="171">
        <v>1</v>
      </c>
      <c r="CM8" s="171">
        <v>2</v>
      </c>
      <c r="CN8" s="149"/>
    </row>
    <row r="9" spans="1:101" ht="24" customHeight="1" x14ac:dyDescent="0.3">
      <c r="A9" s="134" t="s">
        <v>234</v>
      </c>
      <c r="B9" s="134" t="s">
        <v>226</v>
      </c>
      <c r="C9" s="134" t="s">
        <v>227</v>
      </c>
      <c r="D9" s="134" t="s">
        <v>228</v>
      </c>
      <c r="E9" s="134" t="s">
        <v>229</v>
      </c>
      <c r="F9" s="134" t="s">
        <v>230</v>
      </c>
      <c r="G9" s="134" t="s">
        <v>160</v>
      </c>
      <c r="H9" s="150"/>
      <c r="I9" s="150"/>
      <c r="J9" s="199" t="s">
        <v>27</v>
      </c>
      <c r="K9" s="150" t="s">
        <v>26</v>
      </c>
      <c r="L9" s="150" t="s">
        <v>137</v>
      </c>
      <c r="M9" s="150" t="s">
        <v>138</v>
      </c>
      <c r="N9" s="150" t="s">
        <v>225</v>
      </c>
      <c r="O9" s="150" t="s">
        <v>232</v>
      </c>
      <c r="P9" s="150" t="s">
        <v>264</v>
      </c>
      <c r="Q9" s="150" t="s">
        <v>265</v>
      </c>
      <c r="R9" s="150" t="s">
        <v>266</v>
      </c>
      <c r="S9" s="150" t="s">
        <v>267</v>
      </c>
      <c r="T9" s="150" t="s">
        <v>268</v>
      </c>
      <c r="U9" s="150" t="s">
        <v>269</v>
      </c>
      <c r="V9" s="150" t="s">
        <v>223</v>
      </c>
      <c r="W9" s="150" t="s">
        <v>233</v>
      </c>
      <c r="X9" s="151" t="s">
        <v>270</v>
      </c>
      <c r="Y9" s="150" t="s">
        <v>271</v>
      </c>
      <c r="Z9" s="150" t="s">
        <v>272</v>
      </c>
      <c r="AA9" s="150" t="s">
        <v>273</v>
      </c>
      <c r="AB9" s="150" t="s">
        <v>192</v>
      </c>
      <c r="AC9" s="150" t="s">
        <v>274</v>
      </c>
      <c r="AD9" s="150" t="s">
        <v>193</v>
      </c>
      <c r="AE9" s="152" t="s">
        <v>12</v>
      </c>
      <c r="AF9" s="150" t="s">
        <v>275</v>
      </c>
      <c r="AG9" s="150" t="s">
        <v>276</v>
      </c>
      <c r="AH9" s="150" t="s">
        <v>277</v>
      </c>
      <c r="AI9" s="150" t="s">
        <v>278</v>
      </c>
      <c r="AJ9" s="150" t="s">
        <v>172</v>
      </c>
      <c r="AK9" s="150" t="s">
        <v>173</v>
      </c>
      <c r="AL9" s="150" t="s">
        <v>174</v>
      </c>
      <c r="AM9" s="150" t="s">
        <v>175</v>
      </c>
      <c r="AN9" s="150" t="s">
        <v>176</v>
      </c>
      <c r="AO9" s="150" t="s">
        <v>177</v>
      </c>
      <c r="AP9" s="150" t="s">
        <v>178</v>
      </c>
      <c r="AQ9" s="150" t="s">
        <v>179</v>
      </c>
      <c r="AR9" s="150" t="s">
        <v>180</v>
      </c>
      <c r="AS9" s="150" t="s">
        <v>181</v>
      </c>
      <c r="AT9" s="150" t="s">
        <v>182</v>
      </c>
      <c r="AU9" s="150" t="s">
        <v>183</v>
      </c>
      <c r="AV9" s="150" t="s">
        <v>184</v>
      </c>
      <c r="AW9" s="150" t="s">
        <v>185</v>
      </c>
      <c r="AX9" s="150" t="s">
        <v>186</v>
      </c>
      <c r="AY9" s="150" t="s">
        <v>187</v>
      </c>
      <c r="AZ9" s="150" t="s">
        <v>188</v>
      </c>
      <c r="BA9" s="150" t="s">
        <v>189</v>
      </c>
      <c r="BB9" s="150" t="s">
        <v>190</v>
      </c>
      <c r="BC9" s="150" t="s">
        <v>191</v>
      </c>
      <c r="BD9" s="153"/>
      <c r="BE9" s="154" t="s">
        <v>282</v>
      </c>
      <c r="BF9" s="154" t="s">
        <v>167</v>
      </c>
      <c r="BG9" s="154" t="s">
        <v>283</v>
      </c>
      <c r="BH9" s="154" t="s">
        <v>167</v>
      </c>
      <c r="BI9" s="154" t="s">
        <v>284</v>
      </c>
      <c r="BJ9" s="155" t="s">
        <v>194</v>
      </c>
      <c r="BK9" s="155" t="s">
        <v>194</v>
      </c>
      <c r="BL9" s="154" t="s">
        <v>282</v>
      </c>
      <c r="BM9" s="154" t="s">
        <v>167</v>
      </c>
      <c r="BN9" s="154" t="s">
        <v>283</v>
      </c>
      <c r="BO9" s="154" t="s">
        <v>167</v>
      </c>
      <c r="BP9" s="154" t="s">
        <v>284</v>
      </c>
      <c r="BQ9" s="155" t="s">
        <v>194</v>
      </c>
      <c r="BR9" s="155" t="s">
        <v>194</v>
      </c>
      <c r="BS9" s="154" t="s">
        <v>282</v>
      </c>
      <c r="BT9" s="154" t="s">
        <v>167</v>
      </c>
      <c r="BU9" s="154" t="s">
        <v>283</v>
      </c>
      <c r="BV9" s="154" t="s">
        <v>167</v>
      </c>
      <c r="BW9" s="154" t="s">
        <v>284</v>
      </c>
      <c r="BX9" s="155" t="s">
        <v>194</v>
      </c>
      <c r="BY9" s="155" t="s">
        <v>194</v>
      </c>
      <c r="BZ9" s="154" t="s">
        <v>282</v>
      </c>
      <c r="CA9" s="154" t="s">
        <v>167</v>
      </c>
      <c r="CB9" s="154" t="s">
        <v>283</v>
      </c>
      <c r="CC9" s="154" t="s">
        <v>167</v>
      </c>
      <c r="CD9" s="154" t="s">
        <v>284</v>
      </c>
      <c r="CE9" s="155" t="s">
        <v>194</v>
      </c>
      <c r="CF9" s="155" t="s">
        <v>194</v>
      </c>
      <c r="CG9" s="154" t="s">
        <v>282</v>
      </c>
      <c r="CH9" s="154" t="s">
        <v>167</v>
      </c>
      <c r="CI9" s="154" t="s">
        <v>283</v>
      </c>
      <c r="CJ9" s="154" t="s">
        <v>167</v>
      </c>
      <c r="CK9" s="154" t="s">
        <v>284</v>
      </c>
      <c r="CL9" s="155" t="s">
        <v>194</v>
      </c>
      <c r="CM9" s="155" t="s">
        <v>194</v>
      </c>
      <c r="CN9" s="149"/>
    </row>
    <row r="10" spans="1:101" s="157" customFormat="1" ht="18" customHeight="1" x14ac:dyDescent="0.3">
      <c r="A10" s="134" t="s">
        <v>167</v>
      </c>
      <c r="B10" s="134">
        <v>1</v>
      </c>
      <c r="C10" s="134"/>
      <c r="D10" s="134"/>
      <c r="E10" s="134"/>
      <c r="F10" s="134"/>
      <c r="G10" s="134">
        <v>0</v>
      </c>
      <c r="H10" s="193"/>
      <c r="I10" s="194" t="s">
        <v>169</v>
      </c>
      <c r="J10" s="200" t="s">
        <v>295</v>
      </c>
      <c r="K10" s="174" t="s">
        <v>294</v>
      </c>
      <c r="L10" s="175" t="s">
        <v>168</v>
      </c>
      <c r="M10" s="176" t="s">
        <v>56</v>
      </c>
      <c r="N10" s="174"/>
      <c r="O10" s="177"/>
      <c r="P10" s="178"/>
      <c r="Q10" s="178"/>
      <c r="R10" s="179"/>
      <c r="S10" s="178">
        <v>44479</v>
      </c>
      <c r="T10" s="178">
        <v>44484</v>
      </c>
      <c r="U10" s="179">
        <v>5</v>
      </c>
      <c r="V10" s="174"/>
      <c r="W10" s="180">
        <v>100</v>
      </c>
      <c r="X10" s="181">
        <v>1</v>
      </c>
      <c r="Y10" s="178"/>
      <c r="Z10" s="178"/>
      <c r="AA10" s="179"/>
      <c r="AB10" s="177"/>
      <c r="AC10" s="177"/>
      <c r="AD10" s="177"/>
      <c r="AE10" s="182"/>
      <c r="AF10" s="174"/>
      <c r="AG10" s="174"/>
      <c r="AH10" s="174"/>
      <c r="AI10" s="174"/>
      <c r="AJ10" s="174"/>
      <c r="AK10" s="174"/>
      <c r="AL10" s="174"/>
      <c r="AM10" s="174"/>
      <c r="AN10" s="174"/>
      <c r="AO10" s="174"/>
      <c r="AP10" s="174"/>
      <c r="AQ10" s="174"/>
      <c r="AR10" s="174"/>
      <c r="AS10" s="174"/>
      <c r="AT10" s="174"/>
      <c r="AU10" s="174"/>
      <c r="AV10" s="174"/>
      <c r="AW10" s="174"/>
      <c r="AX10" s="174"/>
      <c r="AY10" s="174"/>
      <c r="AZ10" s="174"/>
      <c r="BA10" s="174"/>
      <c r="BB10" s="174"/>
      <c r="BC10" s="174"/>
      <c r="BD10" s="183"/>
      <c r="BE10" s="184"/>
      <c r="BF10" s="184"/>
      <c r="BG10" s="184"/>
      <c r="BH10" s="184"/>
      <c r="BI10" s="184"/>
      <c r="BJ10" s="184"/>
      <c r="BK10" s="184"/>
      <c r="BL10" s="184"/>
      <c r="BM10" s="184"/>
      <c r="BN10" s="184"/>
      <c r="BO10" s="184"/>
      <c r="BP10" s="184"/>
      <c r="BQ10" s="184"/>
      <c r="BR10" s="184"/>
      <c r="BS10" s="184"/>
      <c r="BT10" s="184"/>
      <c r="BU10" s="184"/>
      <c r="BV10" s="184"/>
      <c r="BW10" s="184"/>
      <c r="BX10" s="184"/>
      <c r="BY10" s="184"/>
      <c r="BZ10" s="184"/>
      <c r="CA10" s="184"/>
      <c r="CB10" s="184"/>
      <c r="CC10" s="184"/>
      <c r="CD10" s="184"/>
      <c r="CE10" s="184"/>
      <c r="CF10" s="184"/>
      <c r="CG10" s="184"/>
      <c r="CH10" s="184"/>
      <c r="CI10" s="184"/>
      <c r="CJ10" s="184"/>
      <c r="CK10" s="184"/>
      <c r="CL10" s="184"/>
      <c r="CM10" s="184"/>
      <c r="CN10" s="149"/>
      <c r="CO10"/>
      <c r="CP10"/>
      <c r="CQ10"/>
      <c r="CR10"/>
      <c r="CS10"/>
      <c r="CT10"/>
      <c r="CU10"/>
      <c r="CV10"/>
      <c r="CW10"/>
    </row>
    <row r="11" spans="1:101" s="157" customFormat="1" ht="18" customHeight="1" x14ac:dyDescent="0.3">
      <c r="A11" s="134" t="s">
        <v>167</v>
      </c>
      <c r="B11" s="134">
        <v>2</v>
      </c>
      <c r="C11" s="134"/>
      <c r="D11" s="134"/>
      <c r="E11" s="134"/>
      <c r="F11" s="134"/>
      <c r="G11" s="134">
        <v>0</v>
      </c>
      <c r="H11" s="193"/>
      <c r="I11" s="194" t="s">
        <v>169</v>
      </c>
      <c r="J11" s="201" t="s">
        <v>296</v>
      </c>
      <c r="K11" s="202" t="s">
        <v>297</v>
      </c>
      <c r="L11" s="175" t="s">
        <v>168</v>
      </c>
      <c r="M11" s="203" t="s">
        <v>56</v>
      </c>
      <c r="N11" s="202"/>
      <c r="O11" s="204"/>
      <c r="P11" s="205"/>
      <c r="Q11" s="205"/>
      <c r="R11" s="206"/>
      <c r="S11" s="205">
        <v>44485</v>
      </c>
      <c r="T11" s="205">
        <v>44489</v>
      </c>
      <c r="U11" s="206">
        <v>3</v>
      </c>
      <c r="V11" s="202"/>
      <c r="W11" s="207">
        <v>100</v>
      </c>
      <c r="X11" s="208">
        <v>1</v>
      </c>
      <c r="Y11" s="205"/>
      <c r="Z11" s="205"/>
      <c r="AA11" s="206"/>
      <c r="AB11" s="204"/>
      <c r="AC11" s="204"/>
      <c r="AD11" s="204"/>
      <c r="AE11" s="209"/>
      <c r="AF11" s="202"/>
      <c r="AG11" s="202"/>
      <c r="AH11" s="202"/>
      <c r="AI11" s="202"/>
      <c r="AJ11" s="202"/>
      <c r="AK11" s="202"/>
      <c r="AL11" s="202"/>
      <c r="AM11" s="202"/>
      <c r="AN11" s="202"/>
      <c r="AO11" s="202"/>
      <c r="AP11" s="202"/>
      <c r="AQ11" s="202"/>
      <c r="AR11" s="202"/>
      <c r="AS11" s="202"/>
      <c r="AT11" s="202"/>
      <c r="AU11" s="202"/>
      <c r="AV11" s="202"/>
      <c r="AW11" s="202"/>
      <c r="AX11" s="202"/>
      <c r="AY11" s="202"/>
      <c r="AZ11" s="202"/>
      <c r="BA11" s="202"/>
      <c r="BB11" s="202"/>
      <c r="BC11" s="202"/>
      <c r="BD11" s="210"/>
      <c r="BE11" s="184"/>
      <c r="BF11" s="184"/>
      <c r="BG11" s="184"/>
      <c r="BH11" s="184"/>
      <c r="BI11" s="184"/>
      <c r="BJ11" s="184"/>
      <c r="BK11" s="184"/>
      <c r="BL11" s="184"/>
      <c r="BM11" s="184"/>
      <c r="BN11" s="184"/>
      <c r="BO11" s="184"/>
      <c r="BP11" s="184"/>
      <c r="BQ11" s="184"/>
      <c r="BR11" s="184"/>
      <c r="BS11" s="184"/>
      <c r="BT11" s="184"/>
      <c r="BU11" s="184"/>
      <c r="BV11" s="184"/>
      <c r="BW11" s="184"/>
      <c r="BX11" s="184"/>
      <c r="BY11" s="184"/>
      <c r="BZ11" s="184"/>
      <c r="CA11" s="184"/>
      <c r="CB11" s="184"/>
      <c r="CC11" s="184"/>
      <c r="CD11" s="184"/>
      <c r="CE11" s="184"/>
      <c r="CF11" s="184"/>
      <c r="CG11" s="184"/>
      <c r="CH11" s="184"/>
      <c r="CI11" s="184"/>
      <c r="CJ11" s="184"/>
      <c r="CK11" s="184"/>
      <c r="CL11" s="184"/>
      <c r="CM11" s="184"/>
      <c r="CN11" s="149"/>
      <c r="CO11"/>
      <c r="CP11"/>
      <c r="CQ11"/>
      <c r="CR11"/>
      <c r="CS11"/>
      <c r="CT11"/>
      <c r="CU11"/>
      <c r="CV11"/>
      <c r="CW11"/>
    </row>
    <row r="12" spans="1:101" s="157" customFormat="1" ht="18" customHeight="1" x14ac:dyDescent="0.3">
      <c r="A12" s="134" t="s">
        <v>167</v>
      </c>
      <c r="B12" s="134">
        <v>3</v>
      </c>
      <c r="C12" s="134"/>
      <c r="D12" s="134"/>
      <c r="E12" s="134"/>
      <c r="F12" s="134"/>
      <c r="G12" s="134">
        <v>0</v>
      </c>
      <c r="H12" s="193"/>
      <c r="I12" s="194" t="s">
        <v>169</v>
      </c>
      <c r="J12" s="201" t="s">
        <v>298</v>
      </c>
      <c r="K12" s="202" t="s">
        <v>299</v>
      </c>
      <c r="L12" s="175" t="s">
        <v>168</v>
      </c>
      <c r="M12" s="203" t="s">
        <v>56</v>
      </c>
      <c r="N12" s="202"/>
      <c r="O12" s="204"/>
      <c r="P12" s="205"/>
      <c r="Q12" s="205"/>
      <c r="R12" s="206"/>
      <c r="S12" s="205">
        <v>44490</v>
      </c>
      <c r="T12" s="205">
        <v>44495</v>
      </c>
      <c r="U12" s="206">
        <v>4</v>
      </c>
      <c r="V12" s="202"/>
      <c r="W12" s="207">
        <v>100</v>
      </c>
      <c r="X12" s="208">
        <v>1</v>
      </c>
      <c r="Y12" s="205"/>
      <c r="Z12" s="205"/>
      <c r="AA12" s="206"/>
      <c r="AB12" s="204"/>
      <c r="AC12" s="204"/>
      <c r="AD12" s="204"/>
      <c r="AE12" s="209"/>
      <c r="AF12" s="202"/>
      <c r="AG12" s="202"/>
      <c r="AH12" s="202"/>
      <c r="AI12" s="202"/>
      <c r="AJ12" s="202"/>
      <c r="AK12" s="202"/>
      <c r="AL12" s="202"/>
      <c r="AM12" s="202"/>
      <c r="AN12" s="202"/>
      <c r="AO12" s="202"/>
      <c r="AP12" s="202"/>
      <c r="AQ12" s="202"/>
      <c r="AR12" s="202"/>
      <c r="AS12" s="202"/>
      <c r="AT12" s="202"/>
      <c r="AU12" s="202"/>
      <c r="AV12" s="202"/>
      <c r="AW12" s="202"/>
      <c r="AX12" s="202"/>
      <c r="AY12" s="202"/>
      <c r="AZ12" s="202"/>
      <c r="BA12" s="202"/>
      <c r="BB12" s="202"/>
      <c r="BC12" s="202"/>
      <c r="BD12" s="210"/>
      <c r="BE12" s="184"/>
      <c r="BF12" s="184"/>
      <c r="BG12" s="184"/>
      <c r="BH12" s="184"/>
      <c r="BI12" s="184"/>
      <c r="BJ12" s="184"/>
      <c r="BK12" s="184"/>
      <c r="BL12" s="184"/>
      <c r="BM12" s="184"/>
      <c r="BN12" s="184"/>
      <c r="BO12" s="184"/>
      <c r="BP12" s="184"/>
      <c r="BQ12" s="184"/>
      <c r="BR12" s="184"/>
      <c r="BS12" s="184"/>
      <c r="BT12" s="184"/>
      <c r="BU12" s="184"/>
      <c r="BV12" s="184"/>
      <c r="BW12" s="184"/>
      <c r="BX12" s="184"/>
      <c r="BY12" s="184"/>
      <c r="BZ12" s="184"/>
      <c r="CA12" s="184"/>
      <c r="CB12" s="184"/>
      <c r="CC12" s="184"/>
      <c r="CD12" s="184"/>
      <c r="CE12" s="184"/>
      <c r="CF12" s="184"/>
      <c r="CG12" s="184"/>
      <c r="CH12" s="184"/>
      <c r="CI12" s="184"/>
      <c r="CJ12" s="184"/>
      <c r="CK12" s="184"/>
      <c r="CL12" s="184"/>
      <c r="CM12" s="184"/>
      <c r="CN12" s="149"/>
      <c r="CO12"/>
      <c r="CP12"/>
      <c r="CQ12"/>
      <c r="CR12"/>
      <c r="CS12"/>
      <c r="CT12"/>
      <c r="CU12"/>
      <c r="CV12"/>
      <c r="CW12"/>
    </row>
    <row r="13" spans="1:101" s="157" customFormat="1" ht="18" customHeight="1" x14ac:dyDescent="0.3">
      <c r="A13" s="134" t="s">
        <v>167</v>
      </c>
      <c r="B13" s="134">
        <v>4</v>
      </c>
      <c r="C13" s="134"/>
      <c r="D13" s="134"/>
      <c r="E13" s="134"/>
      <c r="F13" s="134"/>
      <c r="G13" s="134">
        <v>0</v>
      </c>
      <c r="H13" s="193"/>
      <c r="I13" s="194" t="s">
        <v>169</v>
      </c>
      <c r="J13" s="201" t="s">
        <v>300</v>
      </c>
      <c r="K13" s="202" t="s">
        <v>301</v>
      </c>
      <c r="L13" s="175" t="s">
        <v>168</v>
      </c>
      <c r="M13" s="203" t="s">
        <v>56</v>
      </c>
      <c r="N13" s="202"/>
      <c r="O13" s="204"/>
      <c r="P13" s="205"/>
      <c r="Q13" s="205"/>
      <c r="R13" s="206"/>
      <c r="S13" s="205">
        <v>44496</v>
      </c>
      <c r="T13" s="205">
        <v>44502</v>
      </c>
      <c r="U13" s="206">
        <v>5</v>
      </c>
      <c r="V13" s="202"/>
      <c r="W13" s="207">
        <v>100</v>
      </c>
      <c r="X13" s="208">
        <v>1</v>
      </c>
      <c r="Y13" s="205"/>
      <c r="Z13" s="205"/>
      <c r="AA13" s="206"/>
      <c r="AB13" s="204"/>
      <c r="AC13" s="204"/>
      <c r="AD13" s="204"/>
      <c r="AE13" s="209"/>
      <c r="AF13" s="202"/>
      <c r="AG13" s="202"/>
      <c r="AH13" s="202"/>
      <c r="AI13" s="202"/>
      <c r="AJ13" s="202"/>
      <c r="AK13" s="202"/>
      <c r="AL13" s="202"/>
      <c r="AM13" s="202"/>
      <c r="AN13" s="202"/>
      <c r="AO13" s="202"/>
      <c r="AP13" s="202"/>
      <c r="AQ13" s="202"/>
      <c r="AR13" s="202"/>
      <c r="AS13" s="202"/>
      <c r="AT13" s="202"/>
      <c r="AU13" s="202"/>
      <c r="AV13" s="202"/>
      <c r="AW13" s="202"/>
      <c r="AX13" s="202"/>
      <c r="AY13" s="202"/>
      <c r="AZ13" s="202"/>
      <c r="BA13" s="202"/>
      <c r="BB13" s="202"/>
      <c r="BC13" s="202"/>
      <c r="BD13" s="210"/>
      <c r="BE13" s="184"/>
      <c r="BF13" s="184"/>
      <c r="BG13" s="184"/>
      <c r="BH13" s="184"/>
      <c r="BI13" s="184"/>
      <c r="BJ13" s="184"/>
      <c r="BK13" s="184"/>
      <c r="BL13" s="184"/>
      <c r="BM13" s="184"/>
      <c r="BN13" s="184"/>
      <c r="BO13" s="184"/>
      <c r="BP13" s="184"/>
      <c r="BQ13" s="184"/>
      <c r="BR13" s="184"/>
      <c r="BS13" s="184"/>
      <c r="BT13" s="184"/>
      <c r="BU13" s="184"/>
      <c r="BV13" s="184"/>
      <c r="BW13" s="184"/>
      <c r="BX13" s="184"/>
      <c r="BY13" s="184"/>
      <c r="BZ13" s="184"/>
      <c r="CA13" s="184"/>
      <c r="CB13" s="184"/>
      <c r="CC13" s="184"/>
      <c r="CD13" s="184"/>
      <c r="CE13" s="184"/>
      <c r="CF13" s="184"/>
      <c r="CG13" s="184"/>
      <c r="CH13" s="184"/>
      <c r="CI13" s="184"/>
      <c r="CJ13" s="184"/>
      <c r="CK13" s="184"/>
      <c r="CL13" s="184"/>
      <c r="CM13" s="184"/>
      <c r="CN13" s="149"/>
      <c r="CO13"/>
      <c r="CP13"/>
      <c r="CQ13"/>
      <c r="CR13"/>
      <c r="CS13"/>
      <c r="CT13"/>
      <c r="CU13"/>
      <c r="CV13"/>
      <c r="CW13"/>
    </row>
    <row r="14" spans="1:101" s="157" customFormat="1" ht="18" customHeight="1" x14ac:dyDescent="0.3">
      <c r="A14" s="134" t="s">
        <v>167</v>
      </c>
      <c r="B14" s="134">
        <v>5</v>
      </c>
      <c r="C14" s="134"/>
      <c r="D14" s="134"/>
      <c r="E14" s="134"/>
      <c r="F14" s="134"/>
      <c r="G14" s="134">
        <v>0</v>
      </c>
      <c r="H14" s="193"/>
      <c r="I14" s="194" t="s">
        <v>169</v>
      </c>
      <c r="J14" s="201" t="s">
        <v>302</v>
      </c>
      <c r="K14" s="202" t="s">
        <v>303</v>
      </c>
      <c r="L14" s="175" t="s">
        <v>168</v>
      </c>
      <c r="M14" s="203" t="s">
        <v>56</v>
      </c>
      <c r="N14" s="202"/>
      <c r="O14" s="204"/>
      <c r="P14" s="205"/>
      <c r="Q14" s="205"/>
      <c r="R14" s="206"/>
      <c r="S14" s="205">
        <v>44503</v>
      </c>
      <c r="T14" s="205">
        <v>44524</v>
      </c>
      <c r="U14" s="206">
        <v>16</v>
      </c>
      <c r="V14" s="202"/>
      <c r="W14" s="207">
        <v>100</v>
      </c>
      <c r="X14" s="208">
        <v>1</v>
      </c>
      <c r="Y14" s="205"/>
      <c r="Z14" s="205"/>
      <c r="AA14" s="206"/>
      <c r="AB14" s="204"/>
      <c r="AC14" s="204"/>
      <c r="AD14" s="204"/>
      <c r="AE14" s="209"/>
      <c r="AF14" s="202"/>
      <c r="AG14" s="202"/>
      <c r="AH14" s="202"/>
      <c r="AI14" s="202"/>
      <c r="AJ14" s="202"/>
      <c r="AK14" s="202"/>
      <c r="AL14" s="202"/>
      <c r="AM14" s="202"/>
      <c r="AN14" s="202"/>
      <c r="AO14" s="202"/>
      <c r="AP14" s="202"/>
      <c r="AQ14" s="202"/>
      <c r="AR14" s="202"/>
      <c r="AS14" s="202"/>
      <c r="AT14" s="202"/>
      <c r="AU14" s="202"/>
      <c r="AV14" s="202"/>
      <c r="AW14" s="202"/>
      <c r="AX14" s="202"/>
      <c r="AY14" s="202"/>
      <c r="AZ14" s="202"/>
      <c r="BA14" s="202"/>
      <c r="BB14" s="202"/>
      <c r="BC14" s="202"/>
      <c r="BD14" s="210"/>
      <c r="BE14" s="184"/>
      <c r="BF14" s="184"/>
      <c r="BG14" s="184"/>
      <c r="BH14" s="184"/>
      <c r="BI14" s="184"/>
      <c r="BJ14" s="184"/>
      <c r="BK14" s="184"/>
      <c r="BL14" s="184"/>
      <c r="BM14" s="184"/>
      <c r="BN14" s="184"/>
      <c r="BO14" s="184"/>
      <c r="BP14" s="184"/>
      <c r="BQ14" s="184"/>
      <c r="BR14" s="184"/>
      <c r="BS14" s="184"/>
      <c r="BT14" s="184"/>
      <c r="BU14" s="184"/>
      <c r="BV14" s="184"/>
      <c r="BW14" s="184"/>
      <c r="BX14" s="184"/>
      <c r="BY14" s="184"/>
      <c r="BZ14" s="184"/>
      <c r="CA14" s="184"/>
      <c r="CB14" s="184"/>
      <c r="CC14" s="184"/>
      <c r="CD14" s="184"/>
      <c r="CE14" s="184"/>
      <c r="CF14" s="184"/>
      <c r="CG14" s="184"/>
      <c r="CH14" s="184"/>
      <c r="CI14" s="184"/>
      <c r="CJ14" s="184"/>
      <c r="CK14" s="184"/>
      <c r="CL14" s="184"/>
      <c r="CM14" s="184"/>
      <c r="CN14" s="149"/>
      <c r="CO14"/>
      <c r="CP14"/>
      <c r="CQ14"/>
      <c r="CR14"/>
      <c r="CS14"/>
      <c r="CT14"/>
      <c r="CU14"/>
      <c r="CV14"/>
      <c r="CW14"/>
    </row>
    <row r="15" spans="1:101" s="157" customFormat="1" ht="18" customHeight="1" x14ac:dyDescent="0.3">
      <c r="A15" s="134" t="s">
        <v>167</v>
      </c>
      <c r="B15" s="134">
        <v>6</v>
      </c>
      <c r="C15" s="134"/>
      <c r="D15" s="134"/>
      <c r="E15" s="134"/>
      <c r="F15" s="134"/>
      <c r="G15" s="134">
        <v>0</v>
      </c>
      <c r="H15" s="193"/>
      <c r="I15" s="194" t="s">
        <v>169</v>
      </c>
      <c r="J15" s="201" t="s">
        <v>304</v>
      </c>
      <c r="K15" s="202" t="s">
        <v>305</v>
      </c>
      <c r="L15" s="175" t="s">
        <v>168</v>
      </c>
      <c r="M15" s="203" t="s">
        <v>56</v>
      </c>
      <c r="N15" s="202"/>
      <c r="O15" s="204"/>
      <c r="P15" s="205"/>
      <c r="Q15" s="205"/>
      <c r="R15" s="206"/>
      <c r="S15" s="205">
        <v>44506</v>
      </c>
      <c r="T15" s="205">
        <v>44523</v>
      </c>
      <c r="U15" s="206">
        <v>12</v>
      </c>
      <c r="V15" s="202"/>
      <c r="W15" s="207">
        <v>100</v>
      </c>
      <c r="X15" s="208">
        <v>1</v>
      </c>
      <c r="Y15" s="205"/>
      <c r="Z15" s="205"/>
      <c r="AA15" s="206"/>
      <c r="AB15" s="204"/>
      <c r="AC15" s="204"/>
      <c r="AD15" s="204"/>
      <c r="AE15" s="209"/>
      <c r="AF15" s="202"/>
      <c r="AG15" s="202"/>
      <c r="AH15" s="202"/>
      <c r="AI15" s="202"/>
      <c r="AJ15" s="202"/>
      <c r="AK15" s="202"/>
      <c r="AL15" s="202"/>
      <c r="AM15" s="202"/>
      <c r="AN15" s="202"/>
      <c r="AO15" s="202"/>
      <c r="AP15" s="202"/>
      <c r="AQ15" s="202"/>
      <c r="AR15" s="202"/>
      <c r="AS15" s="202"/>
      <c r="AT15" s="202"/>
      <c r="AU15" s="202"/>
      <c r="AV15" s="202"/>
      <c r="AW15" s="202"/>
      <c r="AX15" s="202"/>
      <c r="AY15" s="202"/>
      <c r="AZ15" s="202"/>
      <c r="BA15" s="202"/>
      <c r="BB15" s="202"/>
      <c r="BC15" s="202"/>
      <c r="BD15" s="210"/>
      <c r="BE15" s="184"/>
      <c r="BF15" s="184"/>
      <c r="BG15" s="184"/>
      <c r="BH15" s="184"/>
      <c r="BI15" s="184"/>
      <c r="BJ15" s="184"/>
      <c r="BK15" s="184"/>
      <c r="BL15" s="184"/>
      <c r="BM15" s="184"/>
      <c r="BN15" s="184"/>
      <c r="BO15" s="184"/>
      <c r="BP15" s="184"/>
      <c r="BQ15" s="184"/>
      <c r="BR15" s="184"/>
      <c r="BS15" s="184"/>
      <c r="BT15" s="184"/>
      <c r="BU15" s="184"/>
      <c r="BV15" s="184"/>
      <c r="BW15" s="184"/>
      <c r="BX15" s="184"/>
      <c r="BY15" s="184"/>
      <c r="BZ15" s="184"/>
      <c r="CA15" s="184"/>
      <c r="CB15" s="184"/>
      <c r="CC15" s="184"/>
      <c r="CD15" s="184"/>
      <c r="CE15" s="184"/>
      <c r="CF15" s="184"/>
      <c r="CG15" s="184"/>
      <c r="CH15" s="184"/>
      <c r="CI15" s="184"/>
      <c r="CJ15" s="184"/>
      <c r="CK15" s="184"/>
      <c r="CL15" s="184"/>
      <c r="CM15" s="184"/>
      <c r="CN15" s="149"/>
      <c r="CO15"/>
      <c r="CP15"/>
      <c r="CQ15"/>
      <c r="CR15"/>
      <c r="CS15"/>
      <c r="CT15"/>
      <c r="CU15"/>
      <c r="CV15"/>
      <c r="CW15"/>
    </row>
    <row r="16" spans="1:101" s="157" customFormat="1" ht="18" customHeight="1" x14ac:dyDescent="0.3">
      <c r="A16" s="134" t="s">
        <v>167</v>
      </c>
      <c r="B16" s="134">
        <v>7</v>
      </c>
      <c r="C16" s="134"/>
      <c r="D16" s="134"/>
      <c r="E16" s="134"/>
      <c r="F16" s="134"/>
      <c r="G16" s="134">
        <v>0</v>
      </c>
      <c r="H16" s="212"/>
      <c r="I16" s="173" t="s">
        <v>169</v>
      </c>
      <c r="J16" s="201" t="s">
        <v>306</v>
      </c>
      <c r="K16" s="202" t="s">
        <v>307</v>
      </c>
      <c r="L16" s="175" t="s">
        <v>168</v>
      </c>
      <c r="M16" s="203" t="s">
        <v>308</v>
      </c>
      <c r="N16" s="202"/>
      <c r="O16" s="204"/>
      <c r="P16" s="205"/>
      <c r="Q16" s="205"/>
      <c r="R16" s="206"/>
      <c r="S16" s="205">
        <v>44525</v>
      </c>
      <c r="T16" s="205">
        <v>44544</v>
      </c>
      <c r="U16" s="206">
        <v>14</v>
      </c>
      <c r="V16" s="202"/>
      <c r="W16" s="207">
        <v>0</v>
      </c>
      <c r="X16" s="208">
        <v>0.5</v>
      </c>
      <c r="Y16" s="205"/>
      <c r="Z16" s="205"/>
      <c r="AA16" s="206"/>
      <c r="AB16" s="204"/>
      <c r="AC16" s="204"/>
      <c r="AD16" s="204"/>
      <c r="AE16" s="209"/>
      <c r="AF16" s="202"/>
      <c r="AG16" s="202"/>
      <c r="AH16" s="202"/>
      <c r="AI16" s="202"/>
      <c r="AJ16" s="202"/>
      <c r="AK16" s="202"/>
      <c r="AL16" s="202"/>
      <c r="AM16" s="202"/>
      <c r="AN16" s="202"/>
      <c r="AO16" s="202"/>
      <c r="AP16" s="202"/>
      <c r="AQ16" s="202"/>
      <c r="AR16" s="202"/>
      <c r="AS16" s="202"/>
      <c r="AT16" s="202"/>
      <c r="AU16" s="202"/>
      <c r="AV16" s="202"/>
      <c r="AW16" s="202"/>
      <c r="AX16" s="202"/>
      <c r="AY16" s="202"/>
      <c r="AZ16" s="202"/>
      <c r="BA16" s="202"/>
      <c r="BB16" s="202"/>
      <c r="BC16" s="202"/>
      <c r="BD16" s="210"/>
      <c r="BE16" s="184"/>
      <c r="BF16" s="184"/>
      <c r="BG16" s="184"/>
      <c r="BH16" s="184"/>
      <c r="BI16" s="184"/>
      <c r="BJ16" s="184"/>
      <c r="BK16" s="184"/>
      <c r="BL16" s="184"/>
      <c r="BM16" s="184"/>
      <c r="BN16" s="184"/>
      <c r="BO16" s="184"/>
      <c r="BP16" s="184"/>
      <c r="BQ16" s="184"/>
      <c r="BR16" s="184"/>
      <c r="BS16" s="184"/>
      <c r="BT16" s="184"/>
      <c r="BU16" s="184"/>
      <c r="BV16" s="184"/>
      <c r="BW16" s="184"/>
      <c r="BX16" s="184"/>
      <c r="BY16" s="184"/>
      <c r="BZ16" s="184"/>
      <c r="CA16" s="184"/>
      <c r="CB16" s="184"/>
      <c r="CC16" s="184"/>
      <c r="CD16" s="184"/>
      <c r="CE16" s="184"/>
      <c r="CF16" s="184"/>
      <c r="CG16" s="184"/>
      <c r="CH16" s="184"/>
      <c r="CI16" s="184"/>
      <c r="CJ16" s="184"/>
      <c r="CK16" s="184"/>
      <c r="CL16" s="184"/>
      <c r="CM16" s="184"/>
      <c r="CN16" s="149"/>
      <c r="CO16"/>
      <c r="CP16"/>
      <c r="CQ16"/>
      <c r="CR16"/>
      <c r="CS16"/>
      <c r="CT16"/>
      <c r="CU16"/>
      <c r="CV16"/>
      <c r="CW16"/>
    </row>
    <row r="17" spans="1:101" s="157" customFormat="1" ht="18" customHeight="1" x14ac:dyDescent="0.3">
      <c r="A17" s="134" t="s">
        <v>167</v>
      </c>
      <c r="B17" s="134">
        <v>8</v>
      </c>
      <c r="C17" s="134"/>
      <c r="D17" s="134"/>
      <c r="E17" s="134"/>
      <c r="F17" s="134"/>
      <c r="G17" s="134">
        <v>0</v>
      </c>
      <c r="H17" s="172"/>
      <c r="I17" s="173" t="s">
        <v>169</v>
      </c>
      <c r="J17" s="201" t="s">
        <v>309</v>
      </c>
      <c r="K17" s="202" t="s">
        <v>310</v>
      </c>
      <c r="L17" s="175" t="s">
        <v>168</v>
      </c>
      <c r="M17" s="203" t="s">
        <v>58</v>
      </c>
      <c r="N17" s="202"/>
      <c r="O17" s="204"/>
      <c r="P17" s="205"/>
      <c r="Q17" s="205"/>
      <c r="R17" s="206"/>
      <c r="S17" s="205">
        <v>44545</v>
      </c>
      <c r="T17" s="205">
        <v>44568</v>
      </c>
      <c r="U17" s="206">
        <v>18</v>
      </c>
      <c r="V17" s="202"/>
      <c r="W17" s="207">
        <v>0</v>
      </c>
      <c r="X17" s="208">
        <v>0</v>
      </c>
      <c r="Y17" s="205"/>
      <c r="Z17" s="205"/>
      <c r="AA17" s="206"/>
      <c r="AB17" s="204"/>
      <c r="AC17" s="204"/>
      <c r="AD17" s="204"/>
      <c r="AE17" s="209"/>
      <c r="AF17" s="202"/>
      <c r="AG17" s="202"/>
      <c r="AH17" s="202"/>
      <c r="AI17" s="202"/>
      <c r="AJ17" s="202"/>
      <c r="AK17" s="202"/>
      <c r="AL17" s="202"/>
      <c r="AM17" s="202"/>
      <c r="AN17" s="202"/>
      <c r="AO17" s="202"/>
      <c r="AP17" s="202"/>
      <c r="AQ17" s="202"/>
      <c r="AR17" s="202"/>
      <c r="AS17" s="202"/>
      <c r="AT17" s="202"/>
      <c r="AU17" s="202"/>
      <c r="AV17" s="202"/>
      <c r="AW17" s="202"/>
      <c r="AX17" s="202"/>
      <c r="AY17" s="202"/>
      <c r="AZ17" s="202"/>
      <c r="BA17" s="202"/>
      <c r="BB17" s="202"/>
      <c r="BC17" s="202"/>
      <c r="BD17" s="210"/>
      <c r="BE17" s="184"/>
      <c r="BF17" s="184"/>
      <c r="BG17" s="184"/>
      <c r="BH17" s="184"/>
      <c r="BI17" s="184"/>
      <c r="BJ17" s="184"/>
      <c r="BK17" s="184"/>
      <c r="BL17" s="184"/>
      <c r="BM17" s="184"/>
      <c r="BN17" s="184"/>
      <c r="BO17" s="184"/>
      <c r="BP17" s="184"/>
      <c r="BQ17" s="184"/>
      <c r="BR17" s="184"/>
      <c r="BS17" s="184"/>
      <c r="BT17" s="184"/>
      <c r="BU17" s="184"/>
      <c r="BV17" s="184"/>
      <c r="BW17" s="184"/>
      <c r="BX17" s="184"/>
      <c r="BY17" s="184"/>
      <c r="BZ17" s="184"/>
      <c r="CA17" s="184"/>
      <c r="CB17" s="184"/>
      <c r="CC17" s="184"/>
      <c r="CD17" s="184"/>
      <c r="CE17" s="184"/>
      <c r="CF17" s="184"/>
      <c r="CG17" s="184"/>
      <c r="CH17" s="184"/>
      <c r="CI17" s="184"/>
      <c r="CJ17" s="184"/>
      <c r="CK17" s="184"/>
      <c r="CL17" s="184"/>
      <c r="CM17" s="184"/>
      <c r="CN17" s="149"/>
      <c r="CO17"/>
      <c r="CP17"/>
      <c r="CQ17"/>
      <c r="CR17"/>
      <c r="CS17"/>
      <c r="CT17"/>
      <c r="CU17"/>
      <c r="CV17"/>
      <c r="CW17"/>
    </row>
    <row r="18" spans="1:101" s="157" customFormat="1" ht="18" customHeight="1" x14ac:dyDescent="0.3">
      <c r="A18" s="134" t="s">
        <v>167</v>
      </c>
      <c r="B18" s="134">
        <v>9</v>
      </c>
      <c r="C18" s="134"/>
      <c r="D18" s="134"/>
      <c r="E18" s="134"/>
      <c r="F18" s="134"/>
      <c r="G18" s="134">
        <v>0</v>
      </c>
      <c r="H18" s="172"/>
      <c r="I18" s="173" t="s">
        <v>169</v>
      </c>
      <c r="J18" s="201" t="s">
        <v>127</v>
      </c>
      <c r="K18" s="202" t="s">
        <v>311</v>
      </c>
      <c r="L18" s="175" t="s">
        <v>168</v>
      </c>
      <c r="M18" s="203" t="s">
        <v>58</v>
      </c>
      <c r="N18" s="202"/>
      <c r="O18" s="204"/>
      <c r="P18" s="205"/>
      <c r="Q18" s="205"/>
      <c r="R18" s="206"/>
      <c r="S18" s="205">
        <v>44552</v>
      </c>
      <c r="T18" s="205">
        <v>44579</v>
      </c>
      <c r="U18" s="206">
        <v>20</v>
      </c>
      <c r="V18" s="202"/>
      <c r="W18" s="207">
        <v>0</v>
      </c>
      <c r="X18" s="208">
        <v>0</v>
      </c>
      <c r="Y18" s="205"/>
      <c r="Z18" s="205"/>
      <c r="AA18" s="206"/>
      <c r="AB18" s="204"/>
      <c r="AC18" s="204"/>
      <c r="AD18" s="204"/>
      <c r="AE18" s="209"/>
      <c r="AF18" s="202"/>
      <c r="AG18" s="202"/>
      <c r="AH18" s="202"/>
      <c r="AI18" s="202"/>
      <c r="AJ18" s="202"/>
      <c r="AK18" s="202"/>
      <c r="AL18" s="202"/>
      <c r="AM18" s="202"/>
      <c r="AN18" s="202"/>
      <c r="AO18" s="202"/>
      <c r="AP18" s="202"/>
      <c r="AQ18" s="202"/>
      <c r="AR18" s="202"/>
      <c r="AS18" s="202"/>
      <c r="AT18" s="202"/>
      <c r="AU18" s="202"/>
      <c r="AV18" s="202"/>
      <c r="AW18" s="202"/>
      <c r="AX18" s="202"/>
      <c r="AY18" s="202"/>
      <c r="AZ18" s="202"/>
      <c r="BA18" s="202"/>
      <c r="BB18" s="202"/>
      <c r="BC18" s="202"/>
      <c r="BD18" s="210"/>
      <c r="BE18" s="184"/>
      <c r="BF18" s="184"/>
      <c r="BG18" s="184"/>
      <c r="BH18" s="184"/>
      <c r="BI18" s="184"/>
      <c r="BJ18" s="184"/>
      <c r="BK18" s="184"/>
      <c r="BL18" s="184"/>
      <c r="BM18" s="184"/>
      <c r="BN18" s="184"/>
      <c r="BO18" s="184"/>
      <c r="BP18" s="184"/>
      <c r="BQ18" s="184"/>
      <c r="BR18" s="184"/>
      <c r="BS18" s="184"/>
      <c r="BT18" s="184"/>
      <c r="BU18" s="184"/>
      <c r="BV18" s="184"/>
      <c r="BW18" s="184"/>
      <c r="BX18" s="184"/>
      <c r="BY18" s="184"/>
      <c r="BZ18" s="184"/>
      <c r="CA18" s="184"/>
      <c r="CB18" s="184"/>
      <c r="CC18" s="184"/>
      <c r="CD18" s="184"/>
      <c r="CE18" s="184"/>
      <c r="CF18" s="184"/>
      <c r="CG18" s="184"/>
      <c r="CH18" s="184"/>
      <c r="CI18" s="184"/>
      <c r="CJ18" s="184"/>
      <c r="CK18" s="184"/>
      <c r="CL18" s="184"/>
      <c r="CM18" s="184"/>
      <c r="CN18" s="149"/>
      <c r="CO18"/>
      <c r="CP18"/>
      <c r="CQ18"/>
      <c r="CR18"/>
      <c r="CS18"/>
      <c r="CT18"/>
      <c r="CU18"/>
      <c r="CV18"/>
      <c r="CW18"/>
    </row>
    <row r="19" spans="1:101" s="157" customFormat="1" ht="18" customHeight="1" x14ac:dyDescent="0.3">
      <c r="A19" s="134" t="s">
        <v>167</v>
      </c>
      <c r="B19" s="134">
        <v>10</v>
      </c>
      <c r="C19" s="134"/>
      <c r="D19" s="134"/>
      <c r="E19" s="134"/>
      <c r="F19" s="134"/>
      <c r="G19" s="134">
        <v>0</v>
      </c>
      <c r="H19" s="172"/>
      <c r="I19" s="173" t="s">
        <v>169</v>
      </c>
      <c r="J19" s="201" t="s">
        <v>312</v>
      </c>
      <c r="K19" s="202" t="s">
        <v>313</v>
      </c>
      <c r="L19" s="175" t="s">
        <v>168</v>
      </c>
      <c r="M19" s="203" t="s">
        <v>58</v>
      </c>
      <c r="N19" s="202"/>
      <c r="O19" s="204"/>
      <c r="P19" s="205"/>
      <c r="Q19" s="205"/>
      <c r="R19" s="206"/>
      <c r="S19" s="205">
        <v>44580</v>
      </c>
      <c r="T19" s="205">
        <v>44599</v>
      </c>
      <c r="U19" s="206">
        <v>14</v>
      </c>
      <c r="V19" s="202"/>
      <c r="W19" s="207">
        <v>0</v>
      </c>
      <c r="X19" s="208">
        <v>0</v>
      </c>
      <c r="Y19" s="205"/>
      <c r="Z19" s="205"/>
      <c r="AA19" s="206"/>
      <c r="AB19" s="204"/>
      <c r="AC19" s="204"/>
      <c r="AD19" s="204"/>
      <c r="AE19" s="209"/>
      <c r="AF19" s="202"/>
      <c r="AG19" s="202"/>
      <c r="AH19" s="202"/>
      <c r="AI19" s="202"/>
      <c r="AJ19" s="202"/>
      <c r="AK19" s="202"/>
      <c r="AL19" s="202"/>
      <c r="AM19" s="202"/>
      <c r="AN19" s="202"/>
      <c r="AO19" s="202"/>
      <c r="AP19" s="202"/>
      <c r="AQ19" s="202"/>
      <c r="AR19" s="202"/>
      <c r="AS19" s="202"/>
      <c r="AT19" s="202"/>
      <c r="AU19" s="202"/>
      <c r="AV19" s="202"/>
      <c r="AW19" s="202"/>
      <c r="AX19" s="202"/>
      <c r="AY19" s="202"/>
      <c r="AZ19" s="202"/>
      <c r="BA19" s="202"/>
      <c r="BB19" s="202"/>
      <c r="BC19" s="202"/>
      <c r="BD19" s="210"/>
      <c r="BE19" s="184"/>
      <c r="BF19" s="184"/>
      <c r="BG19" s="184"/>
      <c r="BH19" s="184"/>
      <c r="BI19" s="184"/>
      <c r="BJ19" s="184"/>
      <c r="BK19" s="184"/>
      <c r="BL19" s="184"/>
      <c r="BM19" s="184"/>
      <c r="BN19" s="184"/>
      <c r="BO19" s="184"/>
      <c r="BP19" s="184"/>
      <c r="BQ19" s="184"/>
      <c r="BR19" s="184"/>
      <c r="BS19" s="184"/>
      <c r="BT19" s="184"/>
      <c r="BU19" s="184"/>
      <c r="BV19" s="184"/>
      <c r="BW19" s="184"/>
      <c r="BX19" s="184"/>
      <c r="BY19" s="184"/>
      <c r="BZ19" s="184"/>
      <c r="CA19" s="184"/>
      <c r="CB19" s="184"/>
      <c r="CC19" s="184"/>
      <c r="CD19" s="184"/>
      <c r="CE19" s="184"/>
      <c r="CF19" s="184"/>
      <c r="CG19" s="184"/>
      <c r="CH19" s="184"/>
      <c r="CI19" s="184"/>
      <c r="CJ19" s="184"/>
      <c r="CK19" s="184"/>
      <c r="CL19" s="184"/>
      <c r="CM19" s="184"/>
      <c r="CN19" s="149"/>
      <c r="CO19"/>
      <c r="CP19"/>
      <c r="CQ19"/>
      <c r="CR19"/>
      <c r="CS19"/>
      <c r="CT19"/>
      <c r="CU19"/>
      <c r="CV19"/>
      <c r="CW19"/>
    </row>
    <row r="20" spans="1:101" s="157" customFormat="1" ht="18" customHeight="1" x14ac:dyDescent="0.3">
      <c r="A20" s="158" t="s">
        <v>167</v>
      </c>
      <c r="B20" s="158">
        <v>11</v>
      </c>
      <c r="C20" s="158"/>
      <c r="D20" s="158"/>
      <c r="E20" s="158"/>
      <c r="F20" s="158"/>
      <c r="G20" s="158">
        <v>0</v>
      </c>
      <c r="H20" s="172"/>
      <c r="I20" s="173" t="s">
        <v>169</v>
      </c>
      <c r="J20" s="200" t="s">
        <v>314</v>
      </c>
      <c r="K20" s="182" t="s">
        <v>315</v>
      </c>
      <c r="L20" s="175" t="s">
        <v>168</v>
      </c>
      <c r="M20" s="176" t="s">
        <v>58</v>
      </c>
      <c r="N20" s="174"/>
      <c r="O20" s="177"/>
      <c r="P20" s="178"/>
      <c r="Q20" s="178"/>
      <c r="R20" s="179"/>
      <c r="S20" s="178">
        <v>44600</v>
      </c>
      <c r="T20" s="178">
        <v>44608</v>
      </c>
      <c r="U20" s="213">
        <v>7</v>
      </c>
      <c r="V20" s="174"/>
      <c r="W20" s="180">
        <v>0</v>
      </c>
      <c r="X20" s="181">
        <v>0</v>
      </c>
      <c r="Y20" s="178"/>
      <c r="Z20" s="178"/>
      <c r="AA20" s="179"/>
      <c r="AB20" s="177"/>
      <c r="AC20" s="177"/>
      <c r="AD20" s="177"/>
      <c r="AE20" s="182"/>
      <c r="AF20" s="174"/>
      <c r="AG20" s="174"/>
      <c r="AH20" s="174"/>
      <c r="AI20" s="174"/>
      <c r="AJ20" s="174"/>
      <c r="AK20" s="174"/>
      <c r="AL20" s="174"/>
      <c r="AM20" s="174"/>
      <c r="AN20" s="174"/>
      <c r="AO20" s="174"/>
      <c r="AP20" s="174"/>
      <c r="AQ20" s="174"/>
      <c r="AR20" s="174"/>
      <c r="AS20" s="174"/>
      <c r="AT20" s="174"/>
      <c r="AU20" s="174"/>
      <c r="AV20" s="174"/>
      <c r="AW20" s="174"/>
      <c r="AX20" s="174"/>
      <c r="AY20" s="174"/>
      <c r="AZ20" s="174"/>
      <c r="BA20" s="174"/>
      <c r="BB20" s="174"/>
      <c r="BC20" s="174"/>
      <c r="BD20" s="183"/>
      <c r="BE20" s="184"/>
      <c r="BF20" s="184"/>
      <c r="BG20" s="184"/>
      <c r="BH20" s="184"/>
      <c r="BI20" s="184"/>
      <c r="BJ20" s="184"/>
      <c r="BK20" s="184"/>
      <c r="BL20" s="184"/>
      <c r="BM20" s="184"/>
      <c r="BN20" s="184"/>
      <c r="BO20" s="184"/>
      <c r="BP20" s="184"/>
      <c r="BQ20" s="184"/>
      <c r="BR20" s="184"/>
      <c r="BS20" s="184"/>
      <c r="BT20" s="184"/>
      <c r="BU20" s="184"/>
      <c r="BV20" s="184"/>
      <c r="BW20" s="184"/>
      <c r="BX20" s="184"/>
      <c r="BY20" s="184"/>
      <c r="BZ20" s="184"/>
      <c r="CA20" s="184"/>
      <c r="CB20" s="184"/>
      <c r="CC20" s="184"/>
      <c r="CD20" s="184"/>
      <c r="CE20" s="184"/>
      <c r="CF20" s="184"/>
      <c r="CG20" s="184"/>
      <c r="CH20" s="184"/>
      <c r="CI20" s="184"/>
      <c r="CJ20" s="184"/>
      <c r="CK20" s="184"/>
      <c r="CL20" s="184"/>
      <c r="CM20" s="184"/>
      <c r="CN20" s="149"/>
      <c r="CO20"/>
      <c r="CP20"/>
      <c r="CQ20"/>
      <c r="CR20"/>
      <c r="CS20"/>
      <c r="CT20"/>
      <c r="CU20"/>
      <c r="CV20"/>
      <c r="CW20"/>
    </row>
    <row r="21" spans="1:101" s="157" customFormat="1" ht="18" customHeight="1" x14ac:dyDescent="0.3">
      <c r="A21" s="158" t="s">
        <v>167</v>
      </c>
      <c r="B21" s="158">
        <v>12</v>
      </c>
      <c r="C21" s="158"/>
      <c r="D21" s="158"/>
      <c r="E21" s="158"/>
      <c r="F21" s="158"/>
      <c r="G21" s="158">
        <v>0</v>
      </c>
      <c r="H21" s="172"/>
      <c r="I21" s="173" t="s">
        <v>169</v>
      </c>
      <c r="J21" s="201" t="s">
        <v>316</v>
      </c>
      <c r="K21" s="209" t="s">
        <v>317</v>
      </c>
      <c r="L21" s="175" t="s">
        <v>168</v>
      </c>
      <c r="M21" s="203" t="s">
        <v>58</v>
      </c>
      <c r="N21" s="202"/>
      <c r="O21" s="204"/>
      <c r="P21" s="205"/>
      <c r="Q21" s="205"/>
      <c r="R21" s="206"/>
      <c r="S21" s="205">
        <v>44609</v>
      </c>
      <c r="T21" s="205">
        <v>44617</v>
      </c>
      <c r="U21" s="214">
        <v>7</v>
      </c>
      <c r="V21" s="202"/>
      <c r="W21" s="207">
        <v>0</v>
      </c>
      <c r="X21" s="208">
        <v>0</v>
      </c>
      <c r="Y21" s="205"/>
      <c r="Z21" s="205"/>
      <c r="AA21" s="206"/>
      <c r="AB21" s="204"/>
      <c r="AC21" s="204"/>
      <c r="AD21" s="204"/>
      <c r="AE21" s="209"/>
      <c r="AF21" s="202"/>
      <c r="AG21" s="202"/>
      <c r="AH21" s="202"/>
      <c r="AI21" s="202"/>
      <c r="AJ21" s="202"/>
      <c r="AK21" s="202"/>
      <c r="AL21" s="202"/>
      <c r="AM21" s="202"/>
      <c r="AN21" s="202"/>
      <c r="AO21" s="202"/>
      <c r="AP21" s="202"/>
      <c r="AQ21" s="202"/>
      <c r="AR21" s="202"/>
      <c r="AS21" s="202"/>
      <c r="AT21" s="202"/>
      <c r="AU21" s="202"/>
      <c r="AV21" s="202"/>
      <c r="AW21" s="202"/>
      <c r="AX21" s="202"/>
      <c r="AY21" s="202"/>
      <c r="AZ21" s="202"/>
      <c r="BA21" s="202"/>
      <c r="BB21" s="202"/>
      <c r="BC21" s="202"/>
      <c r="BD21" s="210"/>
      <c r="BE21" s="184"/>
      <c r="BF21" s="184"/>
      <c r="BG21" s="184"/>
      <c r="BH21" s="184"/>
      <c r="BI21" s="184"/>
      <c r="BJ21" s="184"/>
      <c r="BK21" s="184"/>
      <c r="BL21" s="184"/>
      <c r="BM21" s="184"/>
      <c r="BN21" s="184"/>
      <c r="BO21" s="184"/>
      <c r="BP21" s="184"/>
      <c r="BQ21" s="184"/>
      <c r="BR21" s="184"/>
      <c r="BS21" s="184"/>
      <c r="BT21" s="184"/>
      <c r="BU21" s="184"/>
      <c r="BV21" s="184"/>
      <c r="BW21" s="184"/>
      <c r="BX21" s="184"/>
      <c r="BY21" s="184"/>
      <c r="BZ21" s="184"/>
      <c r="CA21" s="184"/>
      <c r="CB21" s="184"/>
      <c r="CC21" s="184"/>
      <c r="CD21" s="184"/>
      <c r="CE21" s="184"/>
      <c r="CF21" s="184"/>
      <c r="CG21" s="184"/>
      <c r="CH21" s="184"/>
      <c r="CI21" s="184"/>
      <c r="CJ21" s="184"/>
      <c r="CK21" s="184"/>
      <c r="CL21" s="184"/>
      <c r="CM21" s="184"/>
      <c r="CN21" s="149"/>
      <c r="CO21"/>
      <c r="CP21"/>
      <c r="CQ21"/>
      <c r="CR21"/>
      <c r="CS21"/>
      <c r="CT21"/>
      <c r="CU21"/>
      <c r="CV21"/>
      <c r="CW21"/>
    </row>
    <row r="22" spans="1:101" s="157" customFormat="1" ht="18" customHeight="1" x14ac:dyDescent="0.3">
      <c r="A22" s="158" t="s">
        <v>167</v>
      </c>
      <c r="B22" s="158">
        <v>13</v>
      </c>
      <c r="C22" s="158"/>
      <c r="D22" s="158"/>
      <c r="E22" s="158"/>
      <c r="F22" s="158"/>
      <c r="G22" s="158">
        <v>0</v>
      </c>
      <c r="H22" s="172"/>
      <c r="I22" s="173" t="s">
        <v>169</v>
      </c>
      <c r="J22" s="201" t="s">
        <v>318</v>
      </c>
      <c r="K22" s="209" t="s">
        <v>319</v>
      </c>
      <c r="L22" s="175" t="s">
        <v>168</v>
      </c>
      <c r="M22" s="203" t="s">
        <v>58</v>
      </c>
      <c r="N22" s="202"/>
      <c r="O22" s="204"/>
      <c r="P22" s="205"/>
      <c r="Q22" s="205"/>
      <c r="R22" s="206"/>
      <c r="S22" s="205">
        <v>44618</v>
      </c>
      <c r="T22" s="205">
        <v>44631</v>
      </c>
      <c r="U22" s="214">
        <v>10</v>
      </c>
      <c r="V22" s="202"/>
      <c r="W22" s="207">
        <v>0</v>
      </c>
      <c r="X22" s="208">
        <v>0</v>
      </c>
      <c r="Y22" s="205"/>
      <c r="Z22" s="205"/>
      <c r="AA22" s="206"/>
      <c r="AB22" s="204"/>
      <c r="AC22" s="204"/>
      <c r="AD22" s="204"/>
      <c r="AE22" s="209"/>
      <c r="AF22" s="202"/>
      <c r="AG22" s="202"/>
      <c r="AH22" s="202"/>
      <c r="AI22" s="202"/>
      <c r="AJ22" s="202"/>
      <c r="AK22" s="202"/>
      <c r="AL22" s="202"/>
      <c r="AM22" s="202"/>
      <c r="AN22" s="202"/>
      <c r="AO22" s="202"/>
      <c r="AP22" s="202"/>
      <c r="AQ22" s="202"/>
      <c r="AR22" s="202"/>
      <c r="AS22" s="202"/>
      <c r="AT22" s="202"/>
      <c r="AU22" s="202"/>
      <c r="AV22" s="202"/>
      <c r="AW22" s="202"/>
      <c r="AX22" s="202"/>
      <c r="AY22" s="202"/>
      <c r="AZ22" s="202"/>
      <c r="BA22" s="202"/>
      <c r="BB22" s="202"/>
      <c r="BC22" s="202"/>
      <c r="BD22" s="210"/>
      <c r="BE22" s="184"/>
      <c r="BF22" s="184"/>
      <c r="BG22" s="184"/>
      <c r="BH22" s="184"/>
      <c r="BI22" s="184"/>
      <c r="BJ22" s="184"/>
      <c r="BK22" s="184"/>
      <c r="BL22" s="184"/>
      <c r="BM22" s="184"/>
      <c r="BN22" s="184"/>
      <c r="BO22" s="184"/>
      <c r="BP22" s="184"/>
      <c r="BQ22" s="184"/>
      <c r="BR22" s="184"/>
      <c r="BS22" s="184"/>
      <c r="BT22" s="184"/>
      <c r="BU22" s="184"/>
      <c r="BV22" s="184"/>
      <c r="BW22" s="184"/>
      <c r="BX22" s="184"/>
      <c r="BY22" s="184"/>
      <c r="BZ22" s="184"/>
      <c r="CA22" s="184"/>
      <c r="CB22" s="184"/>
      <c r="CC22" s="184"/>
      <c r="CD22" s="184"/>
      <c r="CE22" s="184"/>
      <c r="CF22" s="184"/>
      <c r="CG22" s="184"/>
      <c r="CH22" s="184"/>
      <c r="CI22" s="184"/>
      <c r="CJ22" s="184"/>
      <c r="CK22" s="184"/>
      <c r="CL22" s="184"/>
      <c r="CM22" s="184"/>
      <c r="CN22" s="149"/>
      <c r="CO22"/>
      <c r="CP22"/>
      <c r="CQ22"/>
      <c r="CR22"/>
      <c r="CS22"/>
      <c r="CT22"/>
      <c r="CU22"/>
      <c r="CV22"/>
      <c r="CW22"/>
    </row>
    <row r="23" spans="1:101" s="157" customFormat="1" ht="18" customHeight="1" x14ac:dyDescent="0.3">
      <c r="A23" s="158" t="s">
        <v>167</v>
      </c>
      <c r="B23" s="158">
        <v>14</v>
      </c>
      <c r="C23" s="158"/>
      <c r="D23" s="158"/>
      <c r="E23" s="158"/>
      <c r="F23" s="158"/>
      <c r="G23" s="158">
        <v>0</v>
      </c>
      <c r="H23" s="172"/>
      <c r="I23" s="173" t="s">
        <v>169</v>
      </c>
      <c r="J23" s="201" t="s">
        <v>320</v>
      </c>
      <c r="K23" s="209" t="s">
        <v>321</v>
      </c>
      <c r="L23" s="175" t="s">
        <v>168</v>
      </c>
      <c r="M23" s="203" t="s">
        <v>58</v>
      </c>
      <c r="N23" s="202"/>
      <c r="O23" s="204"/>
      <c r="P23" s="205"/>
      <c r="Q23" s="205"/>
      <c r="R23" s="206"/>
      <c r="S23" s="205">
        <v>44632</v>
      </c>
      <c r="T23" s="205">
        <v>44638</v>
      </c>
      <c r="U23" s="214">
        <v>5</v>
      </c>
      <c r="V23" s="202"/>
      <c r="W23" s="207">
        <v>0</v>
      </c>
      <c r="X23" s="208">
        <v>0</v>
      </c>
      <c r="Y23" s="205"/>
      <c r="Z23" s="205"/>
      <c r="AA23" s="206"/>
      <c r="AB23" s="204"/>
      <c r="AC23" s="204"/>
      <c r="AD23" s="204"/>
      <c r="AE23" s="209"/>
      <c r="AF23" s="202"/>
      <c r="AG23" s="202"/>
      <c r="AH23" s="202"/>
      <c r="AI23" s="202"/>
      <c r="AJ23" s="202"/>
      <c r="AK23" s="202"/>
      <c r="AL23" s="202"/>
      <c r="AM23" s="202"/>
      <c r="AN23" s="202"/>
      <c r="AO23" s="202"/>
      <c r="AP23" s="202"/>
      <c r="AQ23" s="202"/>
      <c r="AR23" s="202"/>
      <c r="AS23" s="202"/>
      <c r="AT23" s="202"/>
      <c r="AU23" s="202"/>
      <c r="AV23" s="202"/>
      <c r="AW23" s="202"/>
      <c r="AX23" s="202"/>
      <c r="AY23" s="202"/>
      <c r="AZ23" s="202"/>
      <c r="BA23" s="202"/>
      <c r="BB23" s="202"/>
      <c r="BC23" s="202"/>
      <c r="BD23" s="210"/>
      <c r="BE23" s="184"/>
      <c r="BF23" s="184"/>
      <c r="BG23" s="184"/>
      <c r="BH23" s="184"/>
      <c r="BI23" s="184"/>
      <c r="BJ23" s="184"/>
      <c r="BK23" s="184"/>
      <c r="BL23" s="184"/>
      <c r="BM23" s="184"/>
      <c r="BN23" s="184"/>
      <c r="BO23" s="184"/>
      <c r="BP23" s="184"/>
      <c r="BQ23" s="184"/>
      <c r="BR23" s="184"/>
      <c r="BS23" s="184"/>
      <c r="BT23" s="184"/>
      <c r="BU23" s="184"/>
      <c r="BV23" s="184"/>
      <c r="BW23" s="184"/>
      <c r="BX23" s="184"/>
      <c r="BY23" s="184"/>
      <c r="BZ23" s="184"/>
      <c r="CA23" s="184"/>
      <c r="CB23" s="184"/>
      <c r="CC23" s="184"/>
      <c r="CD23" s="184"/>
      <c r="CE23" s="184"/>
      <c r="CF23" s="184"/>
      <c r="CG23" s="184"/>
      <c r="CH23" s="184"/>
      <c r="CI23" s="184"/>
      <c r="CJ23" s="184"/>
      <c r="CK23" s="184"/>
      <c r="CL23" s="184"/>
      <c r="CM23" s="184"/>
      <c r="CN23" s="149"/>
      <c r="CO23"/>
      <c r="CP23"/>
      <c r="CQ23"/>
      <c r="CR23"/>
      <c r="CS23"/>
      <c r="CT23"/>
      <c r="CU23"/>
      <c r="CV23"/>
      <c r="CW23"/>
    </row>
    <row r="24" spans="1:101" s="157" customFormat="1" ht="18" customHeight="1" x14ac:dyDescent="0.3">
      <c r="A24" s="158" t="s">
        <v>167</v>
      </c>
      <c r="B24" s="158">
        <v>15</v>
      </c>
      <c r="C24" s="158"/>
      <c r="D24" s="158"/>
      <c r="E24" s="158"/>
      <c r="F24" s="158"/>
      <c r="G24" s="158">
        <v>0</v>
      </c>
      <c r="H24" s="172"/>
      <c r="I24" s="173" t="s">
        <v>169</v>
      </c>
      <c r="J24" s="201" t="s">
        <v>322</v>
      </c>
      <c r="K24" s="209" t="s">
        <v>323</v>
      </c>
      <c r="L24" s="175" t="s">
        <v>168</v>
      </c>
      <c r="M24" s="203" t="s">
        <v>58</v>
      </c>
      <c r="N24" s="202"/>
      <c r="O24" s="204"/>
      <c r="P24" s="205"/>
      <c r="Q24" s="205"/>
      <c r="R24" s="206"/>
      <c r="S24" s="205">
        <v>44639</v>
      </c>
      <c r="T24" s="205">
        <v>44652</v>
      </c>
      <c r="U24" s="214">
        <v>10</v>
      </c>
      <c r="V24" s="202"/>
      <c r="W24" s="207">
        <v>0</v>
      </c>
      <c r="X24" s="208">
        <v>0</v>
      </c>
      <c r="Y24" s="205"/>
      <c r="Z24" s="205"/>
      <c r="AA24" s="206"/>
      <c r="AB24" s="204"/>
      <c r="AC24" s="204"/>
      <c r="AD24" s="204"/>
      <c r="AE24" s="209"/>
      <c r="AF24" s="202"/>
      <c r="AG24" s="202"/>
      <c r="AH24" s="202"/>
      <c r="AI24" s="202"/>
      <c r="AJ24" s="202"/>
      <c r="AK24" s="202"/>
      <c r="AL24" s="202"/>
      <c r="AM24" s="202"/>
      <c r="AN24" s="202"/>
      <c r="AO24" s="202"/>
      <c r="AP24" s="202"/>
      <c r="AQ24" s="202"/>
      <c r="AR24" s="202"/>
      <c r="AS24" s="202"/>
      <c r="AT24" s="202"/>
      <c r="AU24" s="202"/>
      <c r="AV24" s="202"/>
      <c r="AW24" s="202"/>
      <c r="AX24" s="202"/>
      <c r="AY24" s="202"/>
      <c r="AZ24" s="202"/>
      <c r="BA24" s="202"/>
      <c r="BB24" s="202"/>
      <c r="BC24" s="202"/>
      <c r="BD24" s="210"/>
      <c r="BE24" s="184"/>
      <c r="BF24" s="184"/>
      <c r="BG24" s="184"/>
      <c r="BH24" s="184"/>
      <c r="BI24" s="184"/>
      <c r="BJ24" s="184"/>
      <c r="BK24" s="184"/>
      <c r="BL24" s="184"/>
      <c r="BM24" s="184"/>
      <c r="BN24" s="184"/>
      <c r="BO24" s="184"/>
      <c r="BP24" s="184"/>
      <c r="BQ24" s="184"/>
      <c r="BR24" s="184"/>
      <c r="BS24" s="184"/>
      <c r="BT24" s="184"/>
      <c r="BU24" s="184"/>
      <c r="BV24" s="184"/>
      <c r="BW24" s="184"/>
      <c r="BX24" s="184"/>
      <c r="BY24" s="184"/>
      <c r="BZ24" s="184"/>
      <c r="CA24" s="184"/>
      <c r="CB24" s="184"/>
      <c r="CC24" s="184"/>
      <c r="CD24" s="184"/>
      <c r="CE24" s="184"/>
      <c r="CF24" s="184"/>
      <c r="CG24" s="184"/>
      <c r="CH24" s="184"/>
      <c r="CI24" s="184"/>
      <c r="CJ24" s="184"/>
      <c r="CK24" s="184"/>
      <c r="CL24" s="184"/>
      <c r="CM24" s="184"/>
      <c r="CN24" s="149"/>
      <c r="CO24"/>
      <c r="CP24"/>
      <c r="CQ24"/>
      <c r="CR24"/>
      <c r="CS24"/>
      <c r="CT24"/>
      <c r="CU24"/>
      <c r="CV24"/>
      <c r="CW24"/>
    </row>
    <row r="25" spans="1:101" s="76" customFormat="1" x14ac:dyDescent="0.3">
      <c r="A25" s="158"/>
      <c r="B25" s="158"/>
      <c r="C25" s="158"/>
      <c r="D25" s="158"/>
      <c r="E25" s="158"/>
      <c r="F25" s="158"/>
      <c r="G25" s="158"/>
      <c r="H25" s="185"/>
      <c r="I25" s="185"/>
      <c r="J25" s="211"/>
      <c r="K25" s="216" t="s">
        <v>285</v>
      </c>
      <c r="L25" s="187"/>
      <c r="M25" s="185"/>
      <c r="N25" s="186"/>
      <c r="O25" s="188"/>
      <c r="P25" s="189"/>
      <c r="Q25" s="189"/>
      <c r="R25" s="188"/>
      <c r="S25" s="189"/>
      <c r="T25" s="189"/>
      <c r="U25" s="217"/>
      <c r="V25" s="185"/>
      <c r="W25" s="185"/>
      <c r="X25" s="190"/>
      <c r="Y25" s="189"/>
      <c r="Z25" s="189"/>
      <c r="AA25" s="188"/>
      <c r="AB25" s="188"/>
      <c r="AC25" s="188"/>
      <c r="AD25" s="188"/>
      <c r="AE25" s="191"/>
      <c r="AF25" s="185"/>
      <c r="AG25" s="185"/>
      <c r="AH25" s="185"/>
      <c r="AI25" s="185"/>
      <c r="AJ25" s="185"/>
      <c r="AK25" s="185"/>
      <c r="AL25" s="185"/>
      <c r="AM25" s="185"/>
      <c r="AN25" s="185"/>
      <c r="AO25" s="185"/>
      <c r="AP25" s="185"/>
      <c r="AQ25" s="185"/>
      <c r="AR25" s="185"/>
      <c r="AS25" s="185"/>
      <c r="AT25" s="185"/>
      <c r="AU25" s="185"/>
      <c r="AV25" s="185"/>
      <c r="AW25" s="185"/>
      <c r="AX25" s="185"/>
      <c r="AY25" s="185"/>
      <c r="AZ25" s="185"/>
      <c r="BA25" s="185"/>
      <c r="BB25" s="185"/>
      <c r="BC25" s="185"/>
      <c r="BD25" s="185"/>
      <c r="BE25" s="192"/>
      <c r="BF25" s="192"/>
      <c r="BG25" s="192"/>
      <c r="BH25" s="192"/>
      <c r="BI25" s="192"/>
      <c r="BJ25" s="192"/>
      <c r="BK25" s="192"/>
      <c r="BL25" s="192"/>
      <c r="BM25" s="192"/>
      <c r="BN25" s="192"/>
      <c r="BO25" s="192"/>
      <c r="BP25" s="192"/>
      <c r="BQ25" s="192"/>
      <c r="BR25" s="192"/>
      <c r="BS25" s="192"/>
      <c r="BT25" s="192"/>
      <c r="BU25" s="192"/>
      <c r="BV25" s="192"/>
      <c r="BW25" s="192"/>
      <c r="BX25" s="192"/>
      <c r="BY25" s="192"/>
      <c r="BZ25" s="192"/>
      <c r="CA25" s="192"/>
      <c r="CB25" s="192"/>
      <c r="CC25" s="192"/>
      <c r="CD25" s="192"/>
      <c r="CE25" s="192"/>
      <c r="CF25" s="192"/>
      <c r="CG25" s="192"/>
      <c r="CH25" s="192"/>
      <c r="CI25" s="192"/>
      <c r="CJ25" s="192"/>
      <c r="CK25" s="192"/>
      <c r="CL25" s="192"/>
      <c r="CM25" s="192"/>
      <c r="CN25"/>
      <c r="CO25"/>
      <c r="CP25"/>
      <c r="CQ25"/>
      <c r="CR25"/>
      <c r="CS25"/>
      <c r="CT25"/>
      <c r="CU25"/>
      <c r="CV25"/>
      <c r="CW25"/>
    </row>
    <row r="26" spans="1:101" x14ac:dyDescent="0.3">
      <c r="P26" s="156"/>
      <c r="Q26" s="156"/>
      <c r="S26" s="156"/>
      <c r="T26" s="156"/>
      <c r="Y26" s="156"/>
      <c r="Z26" s="156"/>
    </row>
    <row r="27" spans="1:101" s="76" customFormat="1" x14ac:dyDescent="0.3">
      <c r="A27" s="158"/>
      <c r="B27" s="158"/>
      <c r="C27" s="158"/>
      <c r="D27" s="158"/>
      <c r="E27" s="158"/>
      <c r="F27" s="158"/>
      <c r="G27" s="158"/>
      <c r="H27" s="158"/>
      <c r="I27" s="158"/>
      <c r="J27" s="198"/>
      <c r="K27" s="159"/>
      <c r="L27" s="160"/>
      <c r="M27" s="158"/>
      <c r="N27" s="159"/>
      <c r="O27" s="161"/>
      <c r="P27" s="161"/>
      <c r="Q27" s="161"/>
      <c r="R27" s="161"/>
      <c r="S27" s="161"/>
      <c r="T27" s="161"/>
      <c r="U27" s="161"/>
      <c r="V27" s="158"/>
      <c r="W27" s="158"/>
      <c r="X27" s="162"/>
      <c r="Y27" s="161"/>
      <c r="Z27" s="161"/>
      <c r="AA27" s="161"/>
      <c r="AB27" s="161"/>
      <c r="AC27" s="161"/>
      <c r="AD27" s="161"/>
      <c r="AE27" s="163"/>
      <c r="AF27" s="158"/>
      <c r="AG27" s="158"/>
      <c r="AH27" s="158"/>
      <c r="AI27" s="158"/>
      <c r="AJ27" s="158"/>
      <c r="AK27" s="158"/>
      <c r="AL27" s="158"/>
      <c r="AM27" s="158"/>
      <c r="AN27" s="158"/>
      <c r="AO27" s="158"/>
      <c r="AP27" s="158"/>
      <c r="AQ27" s="158"/>
      <c r="AR27" s="158"/>
      <c r="AS27" s="158"/>
      <c r="AT27" s="158"/>
      <c r="AU27" s="158"/>
      <c r="AV27" s="158"/>
      <c r="AW27" s="158"/>
      <c r="AX27" s="158"/>
      <c r="AY27" s="158"/>
      <c r="AZ27" s="158"/>
      <c r="BA27" s="158"/>
      <c r="BB27" s="158"/>
      <c r="BC27" s="158"/>
      <c r="BD27" s="158"/>
    </row>
    <row r="28" spans="1:101" x14ac:dyDescent="0.3">
      <c r="BE28" s="76"/>
      <c r="BF28" s="76"/>
      <c r="BG28" s="76"/>
      <c r="BH28" s="76"/>
      <c r="BI28" s="76"/>
      <c r="BJ28" s="76"/>
      <c r="BK28" s="76"/>
      <c r="BL28" s="76"/>
      <c r="BM28" s="76"/>
      <c r="BN28" s="76"/>
      <c r="BO28" s="76"/>
      <c r="BP28" s="76"/>
      <c r="BQ28" s="76"/>
      <c r="BR28" s="76"/>
      <c r="BS28" s="76"/>
      <c r="BT28" s="76"/>
      <c r="BU28" s="76"/>
      <c r="BV28" s="76"/>
      <c r="BW28" s="76"/>
      <c r="BX28" s="76"/>
      <c r="BY28" s="76"/>
      <c r="BZ28" s="76"/>
      <c r="CA28" s="76"/>
      <c r="CB28" s="76"/>
      <c r="CC28" s="76"/>
      <c r="CD28" s="76"/>
      <c r="CE28" s="76"/>
      <c r="CF28" s="76"/>
      <c r="CG28" s="76"/>
      <c r="CH28" s="76"/>
      <c r="CI28" s="76"/>
      <c r="CJ28" s="76"/>
      <c r="CK28" s="76"/>
      <c r="CL28" s="76"/>
      <c r="CM28" s="76"/>
      <c r="CN28" s="76"/>
    </row>
    <row r="29" spans="1:101" s="76" customFormat="1" x14ac:dyDescent="0.3">
      <c r="A29" s="158"/>
      <c r="B29" s="158"/>
      <c r="C29" s="158"/>
      <c r="D29" s="158"/>
      <c r="E29" s="158"/>
      <c r="F29" s="158"/>
      <c r="G29" s="158"/>
      <c r="H29" s="158"/>
      <c r="I29" s="158"/>
      <c r="J29" s="198"/>
      <c r="K29" s="159"/>
      <c r="L29" s="160"/>
      <c r="M29" s="158"/>
      <c r="N29" s="159"/>
      <c r="O29" s="161"/>
      <c r="P29" s="161"/>
      <c r="Q29" s="161"/>
      <c r="R29" s="161"/>
      <c r="S29" s="161"/>
      <c r="T29" s="161"/>
      <c r="U29" s="161"/>
      <c r="V29" s="158"/>
      <c r="W29" s="158"/>
      <c r="X29" s="162"/>
      <c r="Y29" s="161"/>
      <c r="Z29" s="161"/>
      <c r="AA29" s="161"/>
      <c r="AB29" s="161"/>
      <c r="AC29" s="161"/>
      <c r="AD29" s="161"/>
      <c r="AE29" s="163"/>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row>
    <row r="30" spans="1:101" s="76" customFormat="1" x14ac:dyDescent="0.3">
      <c r="A30" s="158"/>
      <c r="B30" s="158"/>
      <c r="C30" s="158"/>
      <c r="D30" s="158"/>
      <c r="E30" s="158"/>
      <c r="F30" s="158"/>
      <c r="G30" s="158"/>
      <c r="H30" s="158"/>
      <c r="I30" s="158"/>
      <c r="J30" s="198"/>
      <c r="K30" s="159"/>
      <c r="L30" s="160"/>
      <c r="M30" s="158"/>
      <c r="N30" s="159"/>
      <c r="O30" s="161"/>
      <c r="P30" s="161"/>
      <c r="Q30" s="161"/>
      <c r="R30" s="161"/>
      <c r="S30" s="161"/>
      <c r="T30" s="161"/>
      <c r="U30" s="161"/>
      <c r="V30" s="158"/>
      <c r="W30" s="158"/>
      <c r="X30" s="162"/>
      <c r="Y30" s="161"/>
      <c r="Z30" s="161"/>
      <c r="AA30" s="161"/>
      <c r="AB30" s="161"/>
      <c r="AC30" s="161"/>
      <c r="AD30" s="161"/>
      <c r="AE30" s="163"/>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row>
    <row r="31" spans="1:101" x14ac:dyDescent="0.3">
      <c r="BE31" s="76"/>
      <c r="BF31" s="76"/>
      <c r="BG31" s="76"/>
      <c r="BH31" s="76"/>
      <c r="BI31" s="76"/>
      <c r="BJ31" s="76"/>
      <c r="BK31" s="76"/>
      <c r="BL31" s="76"/>
      <c r="BM31" s="76"/>
      <c r="BN31" s="76"/>
      <c r="BO31" s="76"/>
      <c r="BP31" s="76"/>
      <c r="BQ31" s="76"/>
      <c r="BR31" s="76"/>
      <c r="BS31" s="76"/>
      <c r="BT31" s="76"/>
      <c r="BU31" s="76"/>
      <c r="BV31" s="76"/>
      <c r="BW31" s="76"/>
      <c r="BX31" s="76"/>
      <c r="BY31" s="76"/>
      <c r="BZ31" s="76"/>
      <c r="CA31" s="76"/>
      <c r="CB31" s="76"/>
      <c r="CC31" s="76"/>
      <c r="CD31" s="76"/>
      <c r="CE31" s="76"/>
      <c r="CF31" s="76"/>
      <c r="CG31" s="76"/>
      <c r="CH31" s="76"/>
      <c r="CI31" s="76"/>
      <c r="CJ31" s="76"/>
      <c r="CK31" s="76"/>
      <c r="CL31" s="76"/>
      <c r="CM31" s="76"/>
      <c r="CN31" s="76"/>
    </row>
    <row r="34" spans="1:56" s="76" customFormat="1" x14ac:dyDescent="0.3">
      <c r="A34" s="158"/>
      <c r="B34" s="158"/>
      <c r="C34" s="158"/>
      <c r="D34" s="158"/>
      <c r="E34" s="158"/>
      <c r="F34" s="158"/>
      <c r="G34" s="158"/>
      <c r="H34" s="158"/>
      <c r="I34" s="158"/>
      <c r="J34" s="198"/>
      <c r="K34" s="159"/>
      <c r="L34" s="160"/>
      <c r="M34" s="158"/>
      <c r="N34" s="159"/>
      <c r="O34" s="161"/>
      <c r="P34" s="161"/>
      <c r="Q34" s="161"/>
      <c r="R34" s="161"/>
      <c r="S34" s="161"/>
      <c r="T34" s="161"/>
      <c r="U34" s="161"/>
      <c r="V34" s="158"/>
      <c r="W34" s="158"/>
      <c r="X34" s="162"/>
      <c r="Y34" s="161"/>
      <c r="Z34" s="161"/>
      <c r="AA34" s="161"/>
      <c r="AB34" s="161"/>
      <c r="AC34" s="161"/>
      <c r="AD34" s="161"/>
      <c r="AE34" s="163"/>
      <c r="AF34" s="158"/>
      <c r="AG34" s="158"/>
      <c r="AH34" s="158"/>
      <c r="AI34" s="158"/>
      <c r="AJ34" s="158"/>
      <c r="AK34" s="158"/>
      <c r="AL34" s="158"/>
      <c r="AM34" s="158"/>
      <c r="AN34" s="158"/>
      <c r="AO34" s="158"/>
      <c r="AP34" s="158"/>
      <c r="AQ34" s="158"/>
      <c r="AR34" s="158"/>
      <c r="AS34" s="158"/>
      <c r="AT34" s="158"/>
      <c r="AU34" s="158"/>
      <c r="AV34" s="158"/>
      <c r="AW34" s="158"/>
      <c r="AX34" s="158"/>
      <c r="AY34" s="158"/>
      <c r="AZ34" s="158"/>
      <c r="BA34" s="158"/>
      <c r="BB34" s="158"/>
      <c r="BC34" s="158"/>
      <c r="BD34" s="158"/>
    </row>
    <row r="36" spans="1:56" s="76" customFormat="1" x14ac:dyDescent="0.3">
      <c r="A36" s="158"/>
      <c r="B36" s="158"/>
      <c r="C36" s="158"/>
      <c r="D36" s="158"/>
      <c r="E36" s="158"/>
      <c r="F36" s="158"/>
      <c r="G36" s="158"/>
      <c r="H36" s="158"/>
      <c r="I36" s="158"/>
      <c r="J36" s="198"/>
      <c r="K36" s="159"/>
      <c r="L36" s="160"/>
      <c r="M36" s="158"/>
      <c r="N36" s="159"/>
      <c r="O36" s="161"/>
      <c r="P36" s="161"/>
      <c r="Q36" s="161"/>
      <c r="R36" s="161"/>
      <c r="S36" s="161"/>
      <c r="T36" s="161"/>
      <c r="U36" s="161"/>
      <c r="V36" s="158"/>
      <c r="W36" s="158"/>
      <c r="X36" s="162"/>
      <c r="Y36" s="161"/>
      <c r="Z36" s="161"/>
      <c r="AA36" s="161"/>
      <c r="AB36" s="161"/>
      <c r="AC36" s="161"/>
      <c r="AD36" s="161"/>
      <c r="AE36" s="163"/>
      <c r="AF36" s="158"/>
      <c r="AG36" s="158"/>
      <c r="AH36" s="158"/>
      <c r="AI36" s="158"/>
      <c r="AJ36" s="158"/>
      <c r="AK36" s="158"/>
      <c r="AL36" s="158"/>
      <c r="AM36" s="158"/>
      <c r="AN36" s="158"/>
      <c r="AO36" s="158"/>
      <c r="AP36" s="158"/>
      <c r="AQ36" s="158"/>
      <c r="AR36" s="158"/>
      <c r="AS36" s="158"/>
      <c r="AT36" s="158"/>
      <c r="AU36" s="158"/>
      <c r="AV36" s="158"/>
      <c r="AW36" s="158"/>
      <c r="AX36" s="158"/>
      <c r="AY36" s="158"/>
      <c r="AZ36" s="158"/>
      <c r="BA36" s="158"/>
      <c r="BB36" s="158"/>
      <c r="BC36" s="158"/>
      <c r="BD36" s="158"/>
    </row>
  </sheetData>
  <conditionalFormatting sqref="X10:X24">
    <cfRule type="dataBar" priority="2">
      <dataBar>
        <cfvo type="min"/>
        <cfvo type="max"/>
        <color rgb="FF6DD9FF"/>
      </dataBar>
      <extLst>
        <ext xmlns:x14="http://schemas.microsoft.com/office/spreadsheetml/2009/9/main" uri="{B025F937-C7B1-47D3-B67F-A62EFF666E3E}">
          <x14:id>{0DDDFDE1-FD90-45D1-B03B-0045CBDF8862}</x14:id>
        </ext>
      </extLst>
    </cfRule>
  </conditionalFormatting>
  <pageMargins left="0.7" right="0.7" top="0.75" bottom="0.75"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dataBar" id="{0DDDFDE1-FD90-45D1-B03B-0045CBDF8862}">
            <x14:dataBar minLength="0" maxLength="100" negativeBarColorSameAsPositive="1" axisPosition="none">
              <x14:cfvo type="autoMin"/>
              <x14:cfvo type="autoMax"/>
            </x14:dataBar>
          </x14:cfRule>
          <xm:sqref>X10:X24</xm:sqref>
        </x14:conditionalFormatting>
        <x14:conditionalFormatting xmlns:xm="http://schemas.microsoft.com/office/excel/2006/main">
          <x14:cfRule type="iconSet" priority="1" id="{400A27DA-1E23-43EF-8936-15DDADF4339D}">
            <x14:iconSet iconSet="3Symbols2" showValue="0" custom="1">
              <x14:cfvo type="percent">
                <xm:f>0</xm:f>
              </x14:cfvo>
              <x14:cfvo type="num">
                <xm:f>0</xm:f>
              </x14:cfvo>
              <x14:cfvo type="num">
                <xm:f>99</xm:f>
              </x14:cfvo>
              <x14:cfIcon iconSet="3Symbols2" iconId="0"/>
              <x14:cfIcon iconSet="NoIcons" iconId="0"/>
              <x14:cfIcon iconSet="3Symbols2" iconId="2"/>
            </x14:iconSet>
          </x14:cfRule>
          <xm:sqref>W10:W24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
  <dimension ref="B2:VGB31"/>
  <sheetViews>
    <sheetView showGridLines="0" showRowColHeaders="0" topLeftCell="A4" zoomScaleNormal="100" workbookViewId="0">
      <selection activeCell="F4" sqref="F4"/>
    </sheetView>
  </sheetViews>
  <sheetFormatPr defaultColWidth="9.109375" defaultRowHeight="14.4" x14ac:dyDescent="0.3"/>
  <cols>
    <col min="1" max="1" width="9.109375" style="76"/>
    <col min="2" max="2" width="1" style="76" customWidth="1"/>
    <col min="3" max="3" width="6.33203125" style="76" customWidth="1"/>
    <col min="4" max="4" width="1.33203125" style="76" customWidth="1"/>
    <col min="5" max="15" width="9.109375" style="76" customWidth="1"/>
    <col min="16" max="16" width="9.33203125" style="76" customWidth="1"/>
    <col min="17" max="18" width="9.109375" style="76" customWidth="1"/>
    <col min="19" max="19" width="8.33203125" style="76" customWidth="1"/>
    <col min="20" max="20" width="9.109375" style="76" customWidth="1"/>
    <col min="21" max="21" width="9.33203125" style="76" customWidth="1"/>
    <col min="22" max="22" width="2" style="76" customWidth="1"/>
    <col min="23" max="23" width="0.88671875" style="76" customWidth="1"/>
    <col min="24" max="16384" width="9.109375" style="76"/>
  </cols>
  <sheetData>
    <row r="2" spans="2:23 15055:15056" ht="5.25" customHeight="1" x14ac:dyDescent="0.3">
      <c r="B2" s="19"/>
      <c r="C2" s="19" t="s">
        <v>2</v>
      </c>
      <c r="D2" s="19"/>
      <c r="E2" s="19"/>
      <c r="F2" s="19"/>
      <c r="G2" s="19"/>
      <c r="H2" s="19"/>
      <c r="I2" s="19"/>
      <c r="J2" s="19"/>
      <c r="K2" s="19"/>
      <c r="L2" s="19"/>
      <c r="M2" s="19"/>
      <c r="N2" s="19"/>
      <c r="O2" s="19"/>
      <c r="P2" s="19"/>
      <c r="Q2" s="19"/>
      <c r="R2" s="19"/>
      <c r="S2" s="19"/>
      <c r="T2" s="19"/>
      <c r="U2" s="19"/>
      <c r="V2" s="19"/>
      <c r="W2" s="19"/>
    </row>
    <row r="3" spans="2:23 15055:15056" ht="15" customHeight="1" x14ac:dyDescent="0.3">
      <c r="B3" s="19"/>
      <c r="C3" s="33"/>
      <c r="D3" s="33"/>
      <c r="E3" s="33"/>
      <c r="F3" s="33"/>
      <c r="G3" s="33"/>
      <c r="H3" s="33"/>
      <c r="I3" s="33"/>
      <c r="J3" s="33"/>
      <c r="K3" s="33"/>
      <c r="L3" s="33"/>
      <c r="M3" s="33"/>
      <c r="N3" s="33"/>
      <c r="O3" s="33"/>
      <c r="P3" s="33"/>
      <c r="Q3" s="33"/>
      <c r="R3" s="33"/>
      <c r="S3" s="33"/>
      <c r="T3" s="33"/>
      <c r="U3" s="64"/>
      <c r="V3" s="65"/>
      <c r="W3" s="19"/>
      <c r="VGA3" s="66" t="s">
        <v>73</v>
      </c>
      <c r="VGB3" s="66" t="s">
        <v>74</v>
      </c>
    </row>
    <row r="4" spans="2:23 15055:15056" ht="15" customHeight="1" x14ac:dyDescent="0.3">
      <c r="B4" s="19"/>
      <c r="C4" s="33"/>
      <c r="D4" s="33"/>
      <c r="H4" s="228" t="s">
        <v>157</v>
      </c>
      <c r="I4" s="228"/>
      <c r="J4" s="228"/>
      <c r="K4" s="228"/>
      <c r="L4" s="228"/>
      <c r="M4" s="228"/>
      <c r="N4" s="228"/>
      <c r="O4" s="228"/>
      <c r="P4" s="228"/>
      <c r="Q4" s="228"/>
      <c r="R4" s="228"/>
      <c r="S4" s="228"/>
      <c r="T4" s="33"/>
      <c r="U4" s="33"/>
      <c r="V4" s="33"/>
      <c r="W4" s="19"/>
    </row>
    <row r="5" spans="2:23 15055:15056" ht="15" customHeight="1" x14ac:dyDescent="0.7">
      <c r="B5" s="19"/>
      <c r="C5" s="33"/>
      <c r="D5" s="33"/>
      <c r="G5" s="90"/>
      <c r="H5" s="228"/>
      <c r="I5" s="228"/>
      <c r="J5" s="228"/>
      <c r="K5" s="228"/>
      <c r="L5" s="228"/>
      <c r="M5" s="228"/>
      <c r="N5" s="228"/>
      <c r="O5" s="228"/>
      <c r="P5" s="228"/>
      <c r="Q5" s="228"/>
      <c r="R5" s="228"/>
      <c r="S5" s="228"/>
      <c r="W5" s="19"/>
    </row>
    <row r="6" spans="2:23 15055:15056" ht="35.4" customHeight="1" x14ac:dyDescent="0.3">
      <c r="B6" s="19"/>
      <c r="C6" s="33"/>
      <c r="D6" s="33"/>
      <c r="K6" s="67"/>
      <c r="L6" s="67"/>
      <c r="M6" s="67"/>
      <c r="N6" s="67"/>
      <c r="O6" s="67"/>
      <c r="P6" s="67"/>
      <c r="Q6" s="33"/>
      <c r="R6" s="33"/>
      <c r="S6" s="68"/>
      <c r="T6" s="33"/>
      <c r="U6" s="33"/>
      <c r="V6" s="33"/>
      <c r="W6" s="19"/>
    </row>
    <row r="7" spans="2:23 15055:15056" ht="15" customHeight="1" x14ac:dyDescent="0.3">
      <c r="B7" s="19"/>
      <c r="C7" s="69" t="s">
        <v>156</v>
      </c>
      <c r="D7" s="33"/>
      <c r="K7" s="67"/>
      <c r="L7" s="67"/>
      <c r="M7" s="67"/>
      <c r="N7" s="67"/>
      <c r="O7" s="67"/>
      <c r="P7" s="67"/>
      <c r="Q7" s="33"/>
      <c r="R7" s="33"/>
      <c r="S7" s="68"/>
      <c r="T7" s="33"/>
      <c r="U7" s="33"/>
      <c r="V7" s="33"/>
      <c r="W7" s="19"/>
    </row>
    <row r="8" spans="2:23 15055:15056" ht="3.9" customHeight="1" x14ac:dyDescent="0.3">
      <c r="B8" s="19"/>
      <c r="C8" s="19"/>
      <c r="D8" s="19"/>
      <c r="E8" s="19"/>
      <c r="F8" s="19"/>
      <c r="G8" s="19"/>
      <c r="H8" s="19"/>
      <c r="I8" s="19"/>
      <c r="J8" s="19"/>
      <c r="K8" s="70"/>
      <c r="L8" s="70"/>
      <c r="M8" s="70"/>
      <c r="N8" s="70"/>
      <c r="O8" s="70"/>
      <c r="P8" s="70"/>
      <c r="Q8" s="19"/>
      <c r="R8" s="19"/>
      <c r="S8" s="71"/>
      <c r="T8" s="19"/>
      <c r="U8" s="19"/>
      <c r="V8" s="19"/>
      <c r="W8" s="19"/>
    </row>
    <row r="9" spans="2:23 15055:15056" ht="45.75" customHeight="1" x14ac:dyDescent="0.3">
      <c r="B9" s="19"/>
      <c r="G9" s="227" t="s">
        <v>1</v>
      </c>
      <c r="H9" s="227"/>
      <c r="I9" s="227"/>
      <c r="J9" s="227"/>
      <c r="K9" s="227"/>
      <c r="L9" s="227"/>
      <c r="M9" s="227"/>
      <c r="N9" s="227"/>
      <c r="O9" s="227"/>
      <c r="P9" s="227"/>
      <c r="Q9" s="227"/>
      <c r="R9" s="227"/>
      <c r="S9" s="227"/>
      <c r="W9" s="19"/>
    </row>
    <row r="10" spans="2:23 15055:15056" ht="15" customHeight="1" x14ac:dyDescent="0.35">
      <c r="B10" s="19"/>
      <c r="C10" s="76">
        <v>1</v>
      </c>
      <c r="D10" s="72">
        <v>1</v>
      </c>
      <c r="E10" s="73" t="s">
        <v>80</v>
      </c>
      <c r="F10" s="33"/>
      <c r="G10" s="227"/>
      <c r="H10" s="227"/>
      <c r="I10" s="227"/>
      <c r="J10" s="227"/>
      <c r="K10" s="227"/>
      <c r="L10" s="227"/>
      <c r="M10" s="227"/>
      <c r="N10" s="227"/>
      <c r="O10" s="227"/>
      <c r="P10" s="227"/>
      <c r="Q10" s="227"/>
      <c r="R10" s="227"/>
      <c r="S10" s="227"/>
      <c r="T10" s="74"/>
      <c r="U10" s="74"/>
      <c r="V10" s="74"/>
      <c r="W10" s="19"/>
    </row>
    <row r="11" spans="2:23 15055:15056" ht="15" customHeight="1" x14ac:dyDescent="0.3">
      <c r="B11" s="19"/>
      <c r="E11" s="225" t="s">
        <v>70</v>
      </c>
      <c r="F11" s="226"/>
      <c r="G11" s="226"/>
      <c r="H11" s="226"/>
      <c r="I11" s="226"/>
      <c r="W11" s="19"/>
    </row>
    <row r="12" spans="2:23 15055:15056" ht="15" customHeight="1" x14ac:dyDescent="0.3">
      <c r="B12" s="19"/>
      <c r="W12" s="19"/>
    </row>
    <row r="13" spans="2:23 15055:15056" ht="15" customHeight="1" x14ac:dyDescent="0.35">
      <c r="B13" s="19"/>
      <c r="C13" s="76">
        <v>2</v>
      </c>
      <c r="E13" s="73" t="s">
        <v>158</v>
      </c>
      <c r="W13" s="19"/>
    </row>
    <row r="14" spans="2:23 15055:15056" ht="15" customHeight="1" x14ac:dyDescent="0.3">
      <c r="B14" s="19"/>
      <c r="W14" s="19"/>
    </row>
    <row r="15" spans="2:23 15055:15056" ht="15" customHeight="1" x14ac:dyDescent="0.3">
      <c r="B15" s="19"/>
      <c r="W15" s="19"/>
    </row>
    <row r="16" spans="2:23 15055:15056" ht="15" customHeight="1" x14ac:dyDescent="0.3">
      <c r="B16" s="19"/>
      <c r="W16" s="19"/>
    </row>
    <row r="17" spans="2:23" ht="15" customHeight="1" x14ac:dyDescent="0.3">
      <c r="B17" s="19"/>
      <c r="W17" s="19"/>
    </row>
    <row r="18" spans="2:23" ht="15" customHeight="1" x14ac:dyDescent="0.3">
      <c r="B18" s="19"/>
      <c r="W18" s="19"/>
    </row>
    <row r="19" spans="2:23" ht="15" customHeight="1" x14ac:dyDescent="0.3">
      <c r="B19" s="19"/>
      <c r="W19" s="19"/>
    </row>
    <row r="20" spans="2:23" ht="15" customHeight="1" x14ac:dyDescent="0.3">
      <c r="B20" s="19"/>
      <c r="W20" s="19"/>
    </row>
    <row r="21" spans="2:23" ht="15" customHeight="1" x14ac:dyDescent="0.3">
      <c r="B21" s="19"/>
      <c r="W21" s="19"/>
    </row>
    <row r="22" spans="2:23" ht="15" customHeight="1" x14ac:dyDescent="0.3">
      <c r="B22" s="19"/>
      <c r="E22" s="225" t="s">
        <v>288</v>
      </c>
      <c r="F22" s="226"/>
      <c r="G22" s="226"/>
      <c r="H22" s="226"/>
      <c r="W22" s="19"/>
    </row>
    <row r="23" spans="2:23" ht="15" customHeight="1" x14ac:dyDescent="0.3">
      <c r="B23" s="19"/>
      <c r="E23" s="225" t="s">
        <v>0</v>
      </c>
      <c r="F23" s="226"/>
      <c r="G23" s="226"/>
      <c r="H23" s="226"/>
      <c r="W23" s="19"/>
    </row>
    <row r="24" spans="2:23" ht="15" customHeight="1" x14ac:dyDescent="0.3">
      <c r="B24" s="19"/>
      <c r="W24" s="19"/>
    </row>
    <row r="25" spans="2:23" ht="3.75" customHeight="1" x14ac:dyDescent="0.3">
      <c r="B25" s="19"/>
      <c r="C25" s="19"/>
      <c r="D25" s="19"/>
      <c r="E25" s="19"/>
      <c r="F25" s="19"/>
      <c r="G25" s="19"/>
      <c r="H25" s="19"/>
      <c r="I25" s="19"/>
      <c r="J25" s="19"/>
      <c r="K25" s="19"/>
      <c r="L25" s="19"/>
      <c r="M25" s="19"/>
      <c r="N25" s="19"/>
      <c r="O25" s="19"/>
      <c r="P25" s="19"/>
      <c r="Q25" s="19"/>
      <c r="R25" s="19"/>
      <c r="S25" s="19"/>
      <c r="T25" s="19"/>
      <c r="U25" s="19"/>
      <c r="V25" s="19"/>
      <c r="W25" s="19"/>
    </row>
    <row r="26" spans="2:23" ht="15" customHeight="1" x14ac:dyDescent="0.3"/>
    <row r="31" spans="2:23" x14ac:dyDescent="0.3">
      <c r="H31" s="75"/>
    </row>
  </sheetData>
  <sheetProtection formatCells="0" formatColumns="0" formatRows="0" insertHyperlinks="0" selectLockedCells="1" autoFilter="0" selectUnlockedCells="1"/>
  <mergeCells count="5">
    <mergeCell ref="E11:I11"/>
    <mergeCell ref="E23:H23"/>
    <mergeCell ref="G9:S10"/>
    <mergeCell ref="H4:S5"/>
    <mergeCell ref="E22:H22"/>
  </mergeCells>
  <hyperlinks>
    <hyperlink ref="E11" r:id="rId1" tooltip="Enable Macros"/>
    <hyperlink ref="E22" r:id="rId2" tooltip="Quick Start Guide"/>
    <hyperlink ref="E23" r:id="rId3" tooltip="Click Here For Documentation"/>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ST1"/>
  <dimension ref="A1:LZ7"/>
  <sheetViews>
    <sheetView workbookViewId="0">
      <selection activeCell="G26" sqref="G26"/>
    </sheetView>
  </sheetViews>
  <sheetFormatPr defaultColWidth="9.109375" defaultRowHeight="14.4" x14ac:dyDescent="0.3"/>
  <cols>
    <col min="1" max="11" width="9.109375" style="131"/>
    <col min="12" max="13" width="14.88671875" style="131" customWidth="1"/>
    <col min="14" max="14" width="12.88671875" style="131" customWidth="1"/>
    <col min="15" max="19" width="9.109375" style="131"/>
    <col min="20" max="20" width="12.6640625" style="131" customWidth="1"/>
    <col min="21" max="27" width="9.109375" style="131"/>
    <col min="28" max="28" width="19.6640625" style="131" customWidth="1"/>
    <col min="29" max="16384" width="9.109375" style="131"/>
  </cols>
  <sheetData>
    <row r="1" spans="1:338" x14ac:dyDescent="0.3">
      <c r="A1" s="11" t="s">
        <v>132</v>
      </c>
      <c r="B1" s="11" t="s">
        <v>146</v>
      </c>
      <c r="C1" s="76" t="s">
        <v>42</v>
      </c>
      <c r="D1" s="76" t="s">
        <v>62</v>
      </c>
      <c r="E1" s="76" t="s">
        <v>45</v>
      </c>
      <c r="F1" s="76" t="s">
        <v>53</v>
      </c>
      <c r="G1" s="76" t="s">
        <v>4</v>
      </c>
      <c r="H1" s="76" t="s">
        <v>6</v>
      </c>
      <c r="I1" s="76" t="s">
        <v>55</v>
      </c>
      <c r="J1" s="76" t="s">
        <v>54</v>
      </c>
      <c r="K1" s="76" t="s">
        <v>71</v>
      </c>
      <c r="L1" s="76" t="s">
        <v>148</v>
      </c>
      <c r="M1" s="76" t="s">
        <v>149</v>
      </c>
      <c r="N1" s="76" t="s">
        <v>64</v>
      </c>
      <c r="O1" s="76" t="s">
        <v>65</v>
      </c>
      <c r="P1" s="76" t="s">
        <v>51</v>
      </c>
      <c r="Q1" s="76" t="s">
        <v>50</v>
      </c>
      <c r="R1" s="76" t="s">
        <v>49</v>
      </c>
      <c r="S1" s="76" t="s">
        <v>48</v>
      </c>
      <c r="T1" s="76" t="s">
        <v>120</v>
      </c>
      <c r="U1" s="76" t="s">
        <v>121</v>
      </c>
      <c r="V1" s="76" t="s">
        <v>122</v>
      </c>
      <c r="W1" s="76" t="s">
        <v>123</v>
      </c>
      <c r="X1" s="76" t="s">
        <v>124</v>
      </c>
      <c r="Y1" s="76" t="s">
        <v>41</v>
      </c>
      <c r="Z1" s="76" t="s">
        <v>40</v>
      </c>
      <c r="AA1" s="76" t="s">
        <v>43</v>
      </c>
      <c r="AB1" s="76" t="s">
        <v>135</v>
      </c>
      <c r="AC1" s="76" t="s">
        <v>52</v>
      </c>
      <c r="AD1" s="76" t="s">
        <v>47</v>
      </c>
      <c r="AE1" s="76" t="s">
        <v>36</v>
      </c>
      <c r="AF1" s="76" t="s">
        <v>35</v>
      </c>
      <c r="AG1" s="76" t="s">
        <v>34</v>
      </c>
      <c r="AH1" s="76" t="s">
        <v>33</v>
      </c>
      <c r="AI1" s="76" t="s">
        <v>32</v>
      </c>
      <c r="AJ1" s="76" t="s">
        <v>31</v>
      </c>
      <c r="AK1" s="76" t="s">
        <v>30</v>
      </c>
      <c r="AL1" s="76" t="s">
        <v>66</v>
      </c>
      <c r="AM1" s="76" t="s">
        <v>67</v>
      </c>
      <c r="AN1" s="76" t="s">
        <v>145</v>
      </c>
      <c r="AO1" s="11" t="s">
        <v>81</v>
      </c>
      <c r="AP1" s="11" t="s">
        <v>82</v>
      </c>
      <c r="AQ1" s="11" t="s">
        <v>83</v>
      </c>
      <c r="AR1" s="11" t="s">
        <v>84</v>
      </c>
      <c r="AS1" s="11" t="s">
        <v>90</v>
      </c>
      <c r="AT1" s="11" t="s">
        <v>150</v>
      </c>
      <c r="AU1" s="11" t="s">
        <v>85</v>
      </c>
      <c r="AV1" s="11" t="s">
        <v>86</v>
      </c>
      <c r="AW1" s="11" t="s">
        <v>87</v>
      </c>
      <c r="AX1" s="11" t="s">
        <v>98</v>
      </c>
      <c r="AY1" s="11" t="s">
        <v>88</v>
      </c>
      <c r="AZ1" s="11" t="s">
        <v>89</v>
      </c>
      <c r="BA1" s="11" t="s">
        <v>116</v>
      </c>
      <c r="BB1" s="11" t="s">
        <v>151</v>
      </c>
      <c r="BC1" s="11" t="s">
        <v>91</v>
      </c>
      <c r="BD1" s="11" t="s">
        <v>92</v>
      </c>
      <c r="BE1" s="11" t="s">
        <v>93</v>
      </c>
      <c r="BF1" s="11" t="s">
        <v>125</v>
      </c>
      <c r="BG1" s="11" t="s">
        <v>126</v>
      </c>
      <c r="BH1" s="11" t="s">
        <v>94</v>
      </c>
      <c r="BI1" s="11" t="s">
        <v>114</v>
      </c>
      <c r="BJ1" s="11" t="s">
        <v>95</v>
      </c>
      <c r="BK1" s="11" t="s">
        <v>96</v>
      </c>
      <c r="BL1" s="11" t="s">
        <v>97</v>
      </c>
      <c r="BM1" s="11" t="s">
        <v>136</v>
      </c>
      <c r="BN1" s="11" t="s">
        <v>139</v>
      </c>
      <c r="BO1" s="11" t="s">
        <v>140</v>
      </c>
      <c r="BP1" s="11" t="s">
        <v>141</v>
      </c>
      <c r="BQ1" s="11" t="s">
        <v>142</v>
      </c>
      <c r="BR1" s="11" t="s">
        <v>143</v>
      </c>
      <c r="BS1" s="11" t="s">
        <v>144</v>
      </c>
      <c r="BT1" s="11" t="s">
        <v>99</v>
      </c>
      <c r="BU1" s="76" t="s">
        <v>100</v>
      </c>
      <c r="BV1" s="76" t="s">
        <v>101</v>
      </c>
      <c r="BW1" s="76" t="s">
        <v>102</v>
      </c>
      <c r="BX1" s="76" t="s">
        <v>103</v>
      </c>
      <c r="BY1" s="76" t="s">
        <v>104</v>
      </c>
      <c r="BZ1" s="76" t="s">
        <v>105</v>
      </c>
      <c r="CA1" s="76" t="s">
        <v>106</v>
      </c>
      <c r="CB1" s="76" t="s">
        <v>107</v>
      </c>
      <c r="CC1" s="76" t="s">
        <v>108</v>
      </c>
      <c r="CD1" s="76" t="s">
        <v>109</v>
      </c>
      <c r="CE1" s="76" t="s">
        <v>110</v>
      </c>
      <c r="CF1" s="76" t="s">
        <v>112</v>
      </c>
      <c r="CG1" s="76" t="s">
        <v>111</v>
      </c>
      <c r="CH1" s="76" t="s">
        <v>115</v>
      </c>
      <c r="CI1" s="76" t="s">
        <v>117</v>
      </c>
      <c r="CJ1" s="76" t="s">
        <v>118</v>
      </c>
      <c r="CK1" s="76" t="s">
        <v>119</v>
      </c>
      <c r="CL1" s="76" t="s">
        <v>109</v>
      </c>
      <c r="CM1" s="76" t="s">
        <v>110</v>
      </c>
      <c r="CN1" s="76" t="s">
        <v>112</v>
      </c>
      <c r="CO1" s="76" t="s">
        <v>111</v>
      </c>
      <c r="CP1" s="76" t="s">
        <v>115</v>
      </c>
      <c r="CQ1" s="76" t="s">
        <v>117</v>
      </c>
      <c r="CR1" s="76" t="s">
        <v>118</v>
      </c>
      <c r="CS1" s="76" t="s">
        <v>119</v>
      </c>
      <c r="CT1" s="12" t="s">
        <v>133</v>
      </c>
      <c r="CU1" s="12" t="s">
        <v>128</v>
      </c>
      <c r="CV1" s="12" t="s">
        <v>134</v>
      </c>
      <c r="CW1" s="12" t="s">
        <v>131</v>
      </c>
      <c r="CX1" s="12" t="s">
        <v>130</v>
      </c>
      <c r="CY1" s="12" t="s">
        <v>147</v>
      </c>
      <c r="CZ1" s="12" t="s">
        <v>155</v>
      </c>
      <c r="DA1" s="12" t="s">
        <v>154</v>
      </c>
      <c r="DB1" s="12" t="s">
        <v>153</v>
      </c>
      <c r="DC1" s="12" t="s">
        <v>152</v>
      </c>
      <c r="DD1" s="12" t="s">
        <v>159</v>
      </c>
      <c r="LL1"/>
      <c r="LM1"/>
      <c r="LN1"/>
      <c r="LO1"/>
      <c r="LP1"/>
      <c r="LQ1"/>
      <c r="LR1"/>
      <c r="LS1"/>
      <c r="LT1"/>
      <c r="LU1"/>
      <c r="LV1"/>
      <c r="LW1"/>
      <c r="LX1"/>
      <c r="LY1"/>
      <c r="LZ1"/>
    </row>
    <row r="2" spans="1:338" x14ac:dyDescent="0.3">
      <c r="A2" s="76" t="s">
        <v>113</v>
      </c>
      <c r="B2" s="76">
        <v>0</v>
      </c>
      <c r="C2" s="76" t="s">
        <v>28</v>
      </c>
      <c r="D2" s="76" t="s">
        <v>63</v>
      </c>
      <c r="E2" s="76" t="b">
        <v>1</v>
      </c>
      <c r="F2" s="13" t="s">
        <v>8</v>
      </c>
      <c r="G2" s="14">
        <v>0</v>
      </c>
      <c r="H2" s="14">
        <v>12</v>
      </c>
      <c r="I2" s="13"/>
      <c r="J2" s="13">
        <v>0</v>
      </c>
      <c r="K2" s="13" t="b">
        <v>0</v>
      </c>
      <c r="L2" s="13" t="b">
        <v>1</v>
      </c>
      <c r="M2" s="13" t="b">
        <v>1</v>
      </c>
      <c r="N2" s="13" t="b">
        <v>1</v>
      </c>
      <c r="O2" s="13" t="b">
        <v>1</v>
      </c>
      <c r="P2" s="13">
        <v>1</v>
      </c>
      <c r="Q2" s="13">
        <v>1</v>
      </c>
      <c r="R2" s="13">
        <v>1</v>
      </c>
      <c r="S2" s="13">
        <v>1</v>
      </c>
      <c r="T2" s="13" t="b">
        <v>1</v>
      </c>
      <c r="U2" s="13" t="b">
        <v>1</v>
      </c>
      <c r="V2" s="13" t="b">
        <v>1</v>
      </c>
      <c r="W2" s="13" t="b">
        <v>1</v>
      </c>
      <c r="X2" s="13" t="b">
        <v>1</v>
      </c>
      <c r="Y2" s="76" t="b">
        <v>1</v>
      </c>
      <c r="Z2" s="76" t="b">
        <v>0</v>
      </c>
      <c r="AA2" s="76">
        <v>0</v>
      </c>
      <c r="AB2" s="13">
        <v>1</v>
      </c>
      <c r="AC2" s="13" t="s">
        <v>29</v>
      </c>
      <c r="AD2" s="13">
        <v>1</v>
      </c>
      <c r="AE2" s="76" t="b">
        <v>1</v>
      </c>
      <c r="AF2" s="76">
        <v>20</v>
      </c>
      <c r="AG2" s="51" t="s">
        <v>127</v>
      </c>
      <c r="AH2" s="76" t="s">
        <v>26</v>
      </c>
      <c r="AI2" s="76" t="b">
        <v>1</v>
      </c>
      <c r="AJ2" s="76" t="b">
        <v>0</v>
      </c>
      <c r="AK2" s="76" t="b">
        <v>0</v>
      </c>
      <c r="AL2" s="76" t="s">
        <v>327</v>
      </c>
      <c r="AM2" s="76" t="s">
        <v>69</v>
      </c>
      <c r="AN2" s="76"/>
      <c r="AO2" s="76" t="s">
        <v>77</v>
      </c>
      <c r="AP2" s="76" t="s">
        <v>76</v>
      </c>
      <c r="AQ2" s="16"/>
      <c r="AR2" s="78"/>
      <c r="AS2" s="17"/>
      <c r="AT2" s="17"/>
      <c r="AU2" s="18"/>
      <c r="AV2" s="19"/>
      <c r="AW2" s="20"/>
      <c r="AX2" s="21"/>
      <c r="AY2" s="77"/>
      <c r="AZ2" s="22"/>
      <c r="BA2" s="22"/>
      <c r="BB2" s="77"/>
      <c r="BC2" s="53"/>
      <c r="BD2" s="79"/>
      <c r="BE2" s="81"/>
      <c r="BF2" s="80"/>
      <c r="BG2" s="81"/>
      <c r="BH2" s="54"/>
      <c r="BI2" s="33"/>
      <c r="BJ2" s="25"/>
      <c r="BK2" s="53"/>
      <c r="BL2" s="26"/>
      <c r="BM2" s="58"/>
      <c r="BN2" s="20"/>
      <c r="BO2" s="83"/>
      <c r="BP2" s="85"/>
      <c r="BQ2" s="35"/>
      <c r="BR2" s="61"/>
      <c r="BS2" s="54"/>
      <c r="BT2" s="76">
        <v>240</v>
      </c>
      <c r="BU2" s="27">
        <v>34</v>
      </c>
      <c r="BV2" s="76">
        <v>4</v>
      </c>
      <c r="BW2" s="76">
        <v>2</v>
      </c>
      <c r="BX2" s="76">
        <v>1</v>
      </c>
      <c r="BY2" s="76">
        <v>1</v>
      </c>
      <c r="BZ2" s="76">
        <v>1</v>
      </c>
      <c r="CA2" s="76">
        <v>3</v>
      </c>
      <c r="CB2" s="76">
        <v>3</v>
      </c>
      <c r="CC2" s="76">
        <v>6</v>
      </c>
      <c r="CD2" s="76">
        <v>8</v>
      </c>
      <c r="CE2" s="76">
        <v>10</v>
      </c>
      <c r="CF2" s="76">
        <v>12</v>
      </c>
      <c r="CG2" s="76">
        <v>15</v>
      </c>
      <c r="CH2" s="76" t="b">
        <v>1</v>
      </c>
      <c r="CI2" s="13" t="b">
        <v>1</v>
      </c>
      <c r="CJ2" s="15">
        <v>44529</v>
      </c>
      <c r="CK2" s="15">
        <v>44563</v>
      </c>
      <c r="CL2" s="76">
        <v>6</v>
      </c>
      <c r="CM2" s="76">
        <v>10</v>
      </c>
      <c r="CN2" s="76">
        <v>12</v>
      </c>
      <c r="CO2" s="76">
        <v>15</v>
      </c>
      <c r="CP2" s="76" t="b">
        <v>1</v>
      </c>
      <c r="CQ2" s="13" t="b">
        <v>1</v>
      </c>
      <c r="CR2" s="15">
        <v>43617</v>
      </c>
      <c r="CS2" s="15">
        <v>43672</v>
      </c>
      <c r="CT2" s="131" t="s">
        <v>281</v>
      </c>
      <c r="CU2" s="131" t="b">
        <v>1</v>
      </c>
      <c r="CV2" s="131" t="b">
        <v>1</v>
      </c>
      <c r="CW2" s="131" t="b">
        <v>1</v>
      </c>
      <c r="CX2" s="131" t="b">
        <v>1</v>
      </c>
      <c r="CY2" s="131" t="b">
        <v>1</v>
      </c>
      <c r="CZ2" s="131" t="s">
        <v>328</v>
      </c>
      <c r="DA2" s="131" t="s">
        <v>329</v>
      </c>
      <c r="DB2" s="89">
        <v>44197</v>
      </c>
      <c r="DC2" s="89">
        <v>44927</v>
      </c>
      <c r="DD2" s="89">
        <v>44416</v>
      </c>
      <c r="LL2"/>
      <c r="LM2"/>
      <c r="LN2"/>
      <c r="LO2"/>
      <c r="LP2"/>
      <c r="LQ2"/>
      <c r="LR2"/>
      <c r="LS2"/>
      <c r="LT2"/>
      <c r="LU2"/>
      <c r="LV2"/>
      <c r="LW2"/>
      <c r="LX2"/>
      <c r="LY2"/>
      <c r="LZ2"/>
    </row>
    <row r="3" spans="1:338" x14ac:dyDescent="0.3">
      <c r="A3" s="76"/>
      <c r="B3" s="76"/>
      <c r="C3" s="76"/>
      <c r="D3" s="76"/>
      <c r="E3" s="76"/>
      <c r="F3" s="76"/>
      <c r="G3" s="76"/>
      <c r="H3" s="76"/>
      <c r="I3" s="76"/>
      <c r="J3" s="76"/>
      <c r="K3" s="76"/>
      <c r="L3" s="76"/>
      <c r="M3" s="76"/>
      <c r="N3" s="76"/>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t="s">
        <v>76</v>
      </c>
      <c r="AP3" s="76"/>
      <c r="AQ3" s="16"/>
      <c r="AR3" s="28"/>
      <c r="AS3" s="17"/>
      <c r="AT3" s="17"/>
      <c r="AU3" s="18"/>
      <c r="AV3" s="19"/>
      <c r="AW3" s="20"/>
      <c r="AX3" s="29"/>
      <c r="AY3" s="79"/>
      <c r="AZ3" s="22"/>
      <c r="BA3" s="22"/>
      <c r="BB3" s="86"/>
      <c r="BC3" s="24"/>
      <c r="BD3" s="79"/>
      <c r="BE3" s="81"/>
      <c r="BF3" s="80"/>
      <c r="BG3" s="81"/>
      <c r="BH3" s="23"/>
      <c r="BI3" s="24"/>
      <c r="BJ3" s="33"/>
      <c r="BK3" s="24"/>
      <c r="BL3" s="34"/>
      <c r="BM3" s="59"/>
      <c r="BN3" s="20"/>
      <c r="BO3" s="83"/>
      <c r="BP3" s="85"/>
      <c r="BQ3" s="35"/>
      <c r="BR3" s="61"/>
      <c r="BS3" s="54"/>
      <c r="BT3" s="76"/>
      <c r="BU3" s="76"/>
      <c r="BV3" s="76"/>
      <c r="BW3" s="76"/>
      <c r="BX3" s="76"/>
      <c r="BY3" s="76"/>
      <c r="BZ3" s="76"/>
      <c r="CA3" s="76"/>
      <c r="CB3" s="76"/>
      <c r="CC3" s="76"/>
      <c r="CD3" s="76"/>
      <c r="CE3" s="76"/>
      <c r="CF3" s="76"/>
      <c r="CG3" s="76"/>
      <c r="CH3" s="76"/>
      <c r="CI3" s="76"/>
      <c r="CJ3" s="76"/>
      <c r="CK3" s="76"/>
      <c r="CL3" s="76"/>
      <c r="CM3" s="76"/>
      <c r="CN3" s="76"/>
      <c r="CO3" s="76"/>
      <c r="CP3" s="76"/>
      <c r="CQ3" s="76"/>
      <c r="CR3" s="76"/>
      <c r="CS3" s="76"/>
    </row>
    <row r="4" spans="1:338" x14ac:dyDescent="0.3">
      <c r="A4" s="76"/>
      <c r="B4" s="76"/>
      <c r="C4" s="76"/>
      <c r="D4" s="76"/>
      <c r="E4" s="76"/>
      <c r="F4" s="76"/>
      <c r="G4" s="76"/>
      <c r="H4" s="76"/>
      <c r="I4" s="76"/>
      <c r="J4" s="76"/>
      <c r="K4" s="76"/>
      <c r="L4" s="76"/>
      <c r="M4" s="76"/>
      <c r="N4" s="76"/>
      <c r="O4" s="76"/>
      <c r="P4" s="76"/>
      <c r="W4" s="76"/>
      <c r="X4" s="76"/>
      <c r="Y4" s="76"/>
      <c r="Z4" s="76"/>
      <c r="AA4" s="76"/>
      <c r="AB4" s="76"/>
      <c r="AC4" s="76"/>
      <c r="AD4" s="76"/>
      <c r="AE4" s="76"/>
      <c r="AF4" s="76"/>
      <c r="AG4" s="76"/>
      <c r="AH4" s="76"/>
      <c r="AI4" s="76"/>
      <c r="AJ4" s="76"/>
      <c r="AK4" s="76"/>
      <c r="AL4" s="76"/>
      <c r="AM4" s="76"/>
      <c r="AN4" s="76"/>
      <c r="AO4" s="76" t="s">
        <v>78</v>
      </c>
      <c r="AP4" s="76"/>
      <c r="AQ4" s="23"/>
      <c r="AR4" s="35"/>
      <c r="AS4" s="36"/>
      <c r="AT4" s="36"/>
      <c r="AU4" s="37"/>
      <c r="AV4" s="28"/>
      <c r="AW4" s="20"/>
      <c r="AX4" s="38"/>
      <c r="AY4" s="39"/>
      <c r="AZ4" s="84"/>
      <c r="BA4" s="84"/>
      <c r="BB4" s="36"/>
      <c r="BC4" s="23"/>
      <c r="BD4" s="79"/>
      <c r="BE4" s="81"/>
      <c r="BF4" s="80"/>
      <c r="BG4" s="81"/>
      <c r="BH4" s="32"/>
      <c r="BI4" s="40"/>
      <c r="BJ4" s="76"/>
      <c r="BK4" s="76"/>
      <c r="BL4" s="34"/>
      <c r="BM4" s="55"/>
      <c r="BN4" s="20"/>
      <c r="BO4" s="83"/>
      <c r="BP4" s="85"/>
      <c r="BQ4" s="35"/>
      <c r="BR4" s="61"/>
      <c r="BS4" s="54"/>
      <c r="BT4" s="76"/>
      <c r="BU4" s="76"/>
      <c r="BV4" s="76"/>
      <c r="BW4" s="76"/>
      <c r="BX4" s="76"/>
      <c r="BY4" s="76"/>
      <c r="BZ4" s="76"/>
      <c r="CA4" s="76"/>
      <c r="CB4" s="76"/>
      <c r="CC4" s="76"/>
      <c r="CD4" s="76"/>
      <c r="CE4" s="76"/>
      <c r="CF4" s="76"/>
      <c r="CG4" s="76"/>
      <c r="CH4" s="76"/>
      <c r="CI4" s="76"/>
      <c r="CJ4" s="76"/>
      <c r="CK4" s="76"/>
      <c r="CL4" s="76"/>
      <c r="CM4" s="76"/>
      <c r="CN4" s="76"/>
      <c r="CO4" s="76"/>
      <c r="CP4" s="76"/>
      <c r="CQ4" s="76"/>
      <c r="CR4" s="76"/>
      <c r="CS4" s="76"/>
    </row>
    <row r="5" spans="1:338" x14ac:dyDescent="0.3">
      <c r="A5" s="76"/>
      <c r="B5" s="76"/>
      <c r="C5" s="76"/>
      <c r="D5" s="76"/>
      <c r="E5" s="76"/>
      <c r="F5" s="76"/>
      <c r="G5" s="76"/>
      <c r="H5" s="76"/>
      <c r="I5" s="76"/>
      <c r="J5" s="76"/>
      <c r="K5" s="76"/>
      <c r="L5" s="76"/>
      <c r="M5" s="76"/>
      <c r="N5" s="76"/>
      <c r="O5" s="76"/>
      <c r="P5" s="76"/>
      <c r="W5" s="76"/>
      <c r="X5" s="76"/>
      <c r="Y5" s="76"/>
      <c r="Z5" s="76"/>
      <c r="AA5" s="76"/>
      <c r="AB5" s="76"/>
      <c r="AC5" s="76"/>
      <c r="AD5" s="76"/>
      <c r="AE5" s="76"/>
      <c r="AF5" s="76"/>
      <c r="AG5" s="76"/>
      <c r="AH5" s="76"/>
      <c r="AI5" s="76"/>
      <c r="AJ5" s="76"/>
      <c r="AK5" s="76"/>
      <c r="AL5" s="76"/>
      <c r="AM5" s="76"/>
      <c r="AN5" s="76"/>
      <c r="AO5" s="76" t="s">
        <v>75</v>
      </c>
      <c r="AP5" s="76"/>
      <c r="AQ5" s="41"/>
      <c r="AR5" s="82"/>
      <c r="AS5" s="42"/>
      <c r="AT5" s="42"/>
      <c r="AU5" s="43"/>
      <c r="AV5" s="44"/>
      <c r="AW5" s="20"/>
      <c r="AX5" s="29"/>
      <c r="AY5" s="45"/>
      <c r="AZ5" s="30"/>
      <c r="BA5" s="30"/>
      <c r="BB5" s="34"/>
      <c r="BC5" s="46"/>
      <c r="BD5" s="79"/>
      <c r="BE5" s="81"/>
      <c r="BF5" s="80"/>
      <c r="BG5" s="81"/>
      <c r="BH5" s="47"/>
      <c r="BI5" s="31"/>
      <c r="BJ5" s="55"/>
      <c r="BK5" s="33"/>
      <c r="BL5" s="34"/>
      <c r="BM5" s="55"/>
      <c r="BN5" s="20"/>
      <c r="BO5" s="83"/>
      <c r="BP5" s="85"/>
      <c r="BQ5" s="35"/>
      <c r="BR5" s="61"/>
      <c r="BS5" s="54"/>
      <c r="BT5" s="76"/>
      <c r="BU5" s="76"/>
      <c r="BV5" s="76"/>
      <c r="BW5" s="76"/>
      <c r="BX5" s="76"/>
      <c r="BY5" s="76"/>
      <c r="BZ5" s="76"/>
      <c r="CA5" s="76"/>
      <c r="CB5" s="76"/>
      <c r="CC5" s="76"/>
      <c r="CD5" s="76"/>
      <c r="CE5" s="76"/>
      <c r="CF5" s="76"/>
      <c r="CG5" s="76"/>
      <c r="CH5" s="76"/>
      <c r="CI5" s="76"/>
      <c r="CJ5" s="76"/>
      <c r="CK5" s="76"/>
      <c r="CL5" s="76"/>
      <c r="CM5" s="76"/>
      <c r="CN5" s="76"/>
      <c r="CO5" s="76"/>
      <c r="CP5" s="76"/>
      <c r="CQ5" s="76"/>
      <c r="CR5" s="76"/>
      <c r="CS5" s="76"/>
    </row>
    <row r="6" spans="1:338" x14ac:dyDescent="0.3">
      <c r="A6" s="76"/>
      <c r="B6" s="76"/>
      <c r="C6" s="76"/>
      <c r="D6" s="76"/>
      <c r="E6" s="76"/>
      <c r="F6" s="76"/>
      <c r="G6" s="76"/>
      <c r="H6" s="76"/>
      <c r="I6" s="76"/>
      <c r="J6" s="76"/>
      <c r="K6" s="76"/>
      <c r="L6" s="76"/>
      <c r="M6" s="76"/>
      <c r="N6" s="76"/>
      <c r="O6" s="76"/>
      <c r="P6" s="76"/>
      <c r="W6" s="76"/>
      <c r="X6" s="76"/>
      <c r="Y6" s="76"/>
      <c r="Z6" s="76"/>
      <c r="AA6" s="76"/>
      <c r="AB6" s="76"/>
      <c r="AC6" s="76"/>
      <c r="AD6" s="76"/>
      <c r="AE6" s="76"/>
      <c r="AF6" s="76"/>
      <c r="AG6" s="76"/>
      <c r="AH6" s="76"/>
      <c r="AI6" s="76"/>
      <c r="AJ6" s="76"/>
      <c r="AK6" s="76"/>
      <c r="AL6" s="76"/>
      <c r="AM6" s="76"/>
      <c r="AN6" s="76"/>
      <c r="AO6" s="76" t="s">
        <v>79</v>
      </c>
      <c r="AP6" s="76"/>
      <c r="AQ6" s="16"/>
      <c r="AR6" s="28"/>
      <c r="AS6" s="17"/>
      <c r="AT6" s="17"/>
      <c r="AU6" s="18"/>
      <c r="AV6" s="19"/>
      <c r="AW6" s="20"/>
      <c r="AX6" s="29"/>
      <c r="AY6" s="79"/>
      <c r="AZ6" s="22"/>
      <c r="BA6" s="22"/>
      <c r="BB6" s="86"/>
      <c r="BC6" s="24"/>
      <c r="BD6" s="79"/>
      <c r="BE6" s="81"/>
      <c r="BF6" s="80"/>
      <c r="BG6" s="81"/>
      <c r="BH6" s="23"/>
      <c r="BI6" s="24"/>
      <c r="BJ6" s="33"/>
      <c r="BK6" s="24"/>
      <c r="BL6" s="34"/>
      <c r="BM6" s="59"/>
      <c r="BN6" s="20"/>
      <c r="BO6" s="83"/>
      <c r="BP6" s="85"/>
      <c r="BQ6" s="35"/>
      <c r="BR6" s="61"/>
      <c r="BS6" s="54"/>
      <c r="BT6" s="76"/>
      <c r="BU6" s="76"/>
      <c r="BV6" s="76"/>
      <c r="BW6" s="76"/>
      <c r="BX6" s="76"/>
      <c r="BY6" s="76"/>
      <c r="BZ6" s="76"/>
      <c r="CA6" s="76"/>
      <c r="CB6" s="76"/>
      <c r="CC6" s="76"/>
      <c r="CD6" s="76"/>
      <c r="CE6" s="76"/>
      <c r="CF6" s="76"/>
      <c r="CG6" s="76"/>
      <c r="CH6" s="76"/>
      <c r="CI6" s="76"/>
      <c r="CJ6" s="76"/>
      <c r="CK6" s="76"/>
      <c r="CL6" s="76"/>
      <c r="CM6" s="76"/>
      <c r="CN6" s="76"/>
      <c r="CO6" s="76"/>
      <c r="CP6" s="76"/>
      <c r="CQ6" s="76"/>
      <c r="CR6" s="76"/>
      <c r="CS6" s="76"/>
    </row>
    <row r="7" spans="1:338" x14ac:dyDescent="0.3">
      <c r="A7" s="76"/>
      <c r="B7" s="76"/>
      <c r="C7" s="76"/>
      <c r="D7" s="76"/>
      <c r="E7" s="76"/>
      <c r="F7" s="76"/>
      <c r="G7" s="76"/>
      <c r="H7" s="76"/>
      <c r="I7" s="76"/>
      <c r="J7" s="76"/>
      <c r="K7" s="76"/>
      <c r="L7" s="76"/>
      <c r="M7" s="76"/>
      <c r="N7" s="76"/>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16"/>
      <c r="AR7" s="28"/>
      <c r="AS7" s="17"/>
      <c r="AT7" s="17"/>
      <c r="AU7" s="18"/>
      <c r="AV7" s="19"/>
      <c r="AW7" s="20"/>
      <c r="AX7" s="29"/>
      <c r="AY7" s="79"/>
      <c r="AZ7" s="22"/>
      <c r="BA7" s="22"/>
      <c r="BB7" s="86"/>
      <c r="BC7" s="24"/>
      <c r="BD7" s="79"/>
      <c r="BE7" s="81"/>
      <c r="BF7" s="80"/>
      <c r="BG7" s="81"/>
      <c r="BH7" s="23"/>
      <c r="BI7" s="24"/>
      <c r="BJ7" s="33"/>
      <c r="BK7" s="24"/>
      <c r="BL7" s="34"/>
      <c r="BM7" s="59"/>
      <c r="BN7" s="20"/>
      <c r="BO7" s="83"/>
      <c r="BP7" s="85"/>
      <c r="BQ7" s="35"/>
      <c r="BR7" s="61"/>
      <c r="BS7" s="54"/>
      <c r="BT7" s="76"/>
      <c r="BU7" s="76"/>
      <c r="BV7" s="76"/>
      <c r="BW7" s="76"/>
      <c r="BX7" s="76"/>
      <c r="BY7" s="76"/>
      <c r="BZ7" s="76"/>
      <c r="CA7" s="76"/>
      <c r="CB7" s="76"/>
      <c r="CC7" s="76"/>
      <c r="CD7" s="76"/>
      <c r="CE7" s="76"/>
      <c r="CF7" s="76"/>
      <c r="CG7" s="76"/>
      <c r="CH7" s="76"/>
      <c r="CI7" s="76"/>
      <c r="CJ7" s="76"/>
      <c r="CK7" s="76"/>
      <c r="CL7" s="76"/>
      <c r="CM7" s="76"/>
      <c r="CN7" s="76"/>
      <c r="CO7" s="76"/>
      <c r="CP7" s="76"/>
      <c r="CQ7" s="76"/>
      <c r="CR7" s="76"/>
      <c r="CS7" s="76"/>
    </row>
  </sheetData>
  <sheetProtection formatCells="0" formatColumns="0" formatRows="0" insertHyperlinks="0" autoFilter="0"/>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2"/>
  <sheetViews>
    <sheetView workbookViewId="0"/>
  </sheetViews>
  <sheetFormatPr defaultRowHeight="14.4" x14ac:dyDescent="0.3"/>
  <sheetData>
    <row r="1" spans="1:20" x14ac:dyDescent="0.3">
      <c r="A1" t="s">
        <v>225</v>
      </c>
      <c r="B1" t="s">
        <v>248</v>
      </c>
      <c r="C1" t="s">
        <v>249</v>
      </c>
      <c r="D1" t="s">
        <v>250</v>
      </c>
      <c r="K1" t="s">
        <v>251</v>
      </c>
      <c r="L1" t="s">
        <v>252</v>
      </c>
      <c r="M1" t="s">
        <v>253</v>
      </c>
      <c r="N1" t="s">
        <v>254</v>
      </c>
      <c r="O1" t="s">
        <v>255</v>
      </c>
      <c r="P1" t="s">
        <v>256</v>
      </c>
      <c r="Q1" t="s">
        <v>257</v>
      </c>
      <c r="R1" t="s">
        <v>258</v>
      </c>
      <c r="S1" t="s">
        <v>259</v>
      </c>
      <c r="T1" t="s">
        <v>260</v>
      </c>
    </row>
    <row r="2" spans="1:20" x14ac:dyDescent="0.3">
      <c r="A2" t="s">
        <v>261</v>
      </c>
      <c r="C2" t="b">
        <v>0</v>
      </c>
      <c r="E2" s="132" t="s">
        <v>262</v>
      </c>
      <c r="K2" s="133">
        <v>0.375</v>
      </c>
      <c r="L2" s="133">
        <v>0.75</v>
      </c>
      <c r="M2">
        <v>0</v>
      </c>
      <c r="N2">
        <v>1</v>
      </c>
      <c r="O2">
        <v>1</v>
      </c>
      <c r="P2">
        <v>1</v>
      </c>
      <c r="Q2">
        <v>1</v>
      </c>
      <c r="R2">
        <v>1</v>
      </c>
      <c r="S2">
        <v>0</v>
      </c>
    </row>
  </sheetData>
  <pageMargins left="0.7" right="0.7" top="0.75" bottom="0.75" header="0.3" footer="0.3"/>
</worksheet>
</file>

<file path=customUI/_rels/customUI.xml.rels><?xml version="1.0" encoding="UTF-8" standalone="yes"?>
<Relationships xmlns="http://schemas.openxmlformats.org/package/2006/relationships"><Relationship Id="addtaskbelowselection.png" Type="http://schemas.openxmlformats.org/officeDocument/2006/relationships/image" Target="images/addtaskbelowselection.png"/><Relationship Id="Upgrade64.png" Type="http://schemas.openxmlformats.org/officeDocument/2006/relationships/image" Target="images/Upgrade64.png"/><Relationship Id="ExportToPDF.png" Type="http://schemas.openxmlformats.org/officeDocument/2006/relationships/image" Target="images/ExportToPDF.png"/><Relationship Id="EditTask64.png" Type="http://schemas.openxmlformats.org/officeDocument/2006/relationships/image" Target="images/EditTask64.png"/><Relationship Id="AddGanttChart64.png" Type="http://schemas.openxmlformats.org/officeDocument/2006/relationships/image" Target="images/AddGanttChart64.png"/><Relationship Id="Settings64.png" Type="http://schemas.openxmlformats.org/officeDocument/2006/relationships/image" Target="images/Settings64.png"/><Relationship Id="addtaskatselection.png" Type="http://schemas.openxmlformats.org/officeDocument/2006/relationships/image" Target="images/addtaskatselection.png"/><Relationship Id="duplicate64.png" Type="http://schemas.openxmlformats.org/officeDocument/2006/relationships/image" Target="images/duplicate64.png"/><Relationship Id="Resources64.png" Type="http://schemas.openxmlformats.org/officeDocument/2006/relationships/image" Target="images/Resources64.png"/><Relationship Id="moveupblue16.png" Type="http://schemas.openxmlformats.org/officeDocument/2006/relationships/image" Target="images/moveupblue16.png"/><Relationship Id="ScrolltoEnd.png" Type="http://schemas.openxmlformats.org/officeDocument/2006/relationships/image" Target="images/ScrolltoEnd.png"/><Relationship Id="YearlyView.png" Type="http://schemas.openxmlformats.org/officeDocument/2006/relationships/image" Target="images/YearlyView.png"/><Relationship Id="DailyView.png" Type="http://schemas.openxmlformats.org/officeDocument/2006/relationships/image" Target="images/DailyView.png"/><Relationship Id="SetupTimeline.png" Type="http://schemas.openxmlformats.org/officeDocument/2006/relationships/image" Target="images/SetupTimeline.png"/><Relationship Id="AddTask.png" Type="http://schemas.openxmlformats.org/officeDocument/2006/relationships/image" Target="images/AddTask64.png"/><Relationship Id="HalfYearlyView.png" Type="http://schemas.openxmlformats.org/officeDocument/2006/relationships/image" Target="images/HalfYearlyView.png"/><Relationship Id="editproject.png" Type="http://schemas.openxmlformats.org/officeDocument/2006/relationships/image" Target="images/editproject.png"/><Relationship Id="AddSection64.png" Type="http://schemas.openxmlformats.org/officeDocument/2006/relationships/image" Target="images/AddSection64.png"/><Relationship Id="makeparent16.png" Type="http://schemas.openxmlformats.org/officeDocument/2006/relationships/image" Target="images/makeparent16.png"/><Relationship Id="ExportToXLSX.png" Type="http://schemas.openxmlformats.org/officeDocument/2006/relationships/image" Target="images/ExportToXLSX.png"/><Relationship Id="DailyView64.png" Type="http://schemas.openxmlformats.org/officeDocument/2006/relationships/image" Target="images/daily64.png"/><Relationship Id="QuarterlyView.png" Type="http://schemas.openxmlformats.org/officeDocument/2006/relationships/image" Target="images/QuarterlyView.png"/><Relationship Id="MonthlyView.png" Type="http://schemas.openxmlformats.org/officeDocument/2006/relationships/image" Target="images/MonthlyView.png"/><Relationship Id="HourlyView.png" Type="http://schemas.openxmlformats.org/officeDocument/2006/relationships/image" Target="images/HourlyView.png"/><Relationship Id="movedownblue16.png" Type="http://schemas.openxmlformats.org/officeDocument/2006/relationships/image" Target="images/movedownblue16.png"/><Relationship Id="About64.png" Type="http://schemas.openxmlformats.org/officeDocument/2006/relationships/image" Target="images/About64.png"/><Relationship Id="dash64.png" Type="http://schemas.openxmlformats.org/officeDocument/2006/relationships/image" Target="images/dash64.png"/><Relationship Id="AddMilestone.png" Type="http://schemas.openxmlformats.org/officeDocument/2006/relationships/image" Target="images/AddMilestone.png"/><Relationship Id="WeeklyView.png" Type="http://schemas.openxmlformats.org/officeDocument/2006/relationships/image" Target="images/WeeklyView.png"/><Relationship Id="deleteTask64.png" Type="http://schemas.openxmlformats.org/officeDocument/2006/relationships/image" Target="images/deleteTask64.png"/><Relationship Id="makechild16.png" Type="http://schemas.openxmlformats.org/officeDocument/2006/relationships/image" Target="images/makechild16.png"/><Relationship Id="ScrolltoStart.png" Type="http://schemas.openxmlformats.org/officeDocument/2006/relationships/image" Target="images/ScrolltoStart.png"/><Relationship Id="ScrolltoToday.png" Type="http://schemas.openxmlformats.org/officeDocument/2006/relationships/image" Target="images/ScrolltoToday.png"/><Relationship Id="moreviews.png" Type="http://schemas.openxmlformats.org/officeDocument/2006/relationships/image" Target="images/moreviews.png"/></Relationships>
</file>

<file path=customUI/customUI.xml><?xml version="1.0" encoding="utf-8"?>
<customUI xmlns="http://schemas.microsoft.com/office/2006/01/customui" onLoad="OnRibbonLoad">
  <ribbon startFromScratch="false">
    <tabs>
      <tab idMso="TabHome">
        <group idMso="GroupEditingExcel" visible="false"> 
				</group>
        <group idMso="GroupCells" visible="false"> 
				</group>
      </tab>
      <tab idMso="TabData">
        <group idMso="GroupSortFilter" visible="false"> 
				</group>
      </tab>
      <tab idMso="TabReview" visible="false">   
</tab>
      <tab id="tabGantt" insertBeforeMso="TabHome" label="GANTT" keytip="G">
        <group id="grpGanttCharts" label="Gantt Charts" getVisible="GetVisible">
          <button id="btnAddGanttChart" label="Add New Gantt Chart" size="large" onAction="OnActionButton" image="AddGanttChart64.png" getEnabled="GetEnabled" keytip="C" screentip="Add New Gantt Chart Worksheet"/>
          <button id="btnEditGanttChart" label="Edit Project" size="normal" onAction="btnEditGanttChart" image="editproject.png" getEnabled="GetEnabled" keytip="P" screentip="Edit Project Details"/>
          <button id="btnDashboard" label="Dashboard" size="normal" onAction="btnDashboardRib" image="dash64.png" keytip="B" getEnabled="GetEnabled" screentip="Generate Project Dashboard"/>
        </group>
        <group id="grpCreateEditDelete" label="Tasks" getVisible="GetVisible">
          <button id="btnAddTaskAtSelection" label="Add Task" size="large" onAction="AddTaskAtSelection" image="AddTask.png" keytip="A" getEnabled="GetEnabled" screentip="Add Task"/>
          <button id="btnSetMilestone" label="Add Milestone" size="large" onAction="AddMilestone" getEnabled="GetEnabled" image="AddMilestone.png" keytip="M" screentip="Add Milestone"/>
          <button id="btnEdit" label="Edit" size="normal" onAction="EditTask" getEnabled="GetEnabled" image="EditTask64.png" screentip="Edit task" keytip="E"/>
          <button id="btnDuplicate" label="Duplicate" screentip="Duplicate task" image="duplicate64.png" onAction="DuplicateTaskRib" size="normal" getEnabled="GetEnabled" keytip="D"/>
          <button id="btnDelete" label="Delete" screentip="Delete task" image="deleteTask64.png" onAction="DeleteTask" size="normal" getEnabled="GetEnabled" keytip="X"/>
          <separator id="sepIndent"/>
          <button id="btnParent" label="Make Parent" size="normal" screentip="Set as Parent Task" supertip="Alt + Left Arrow" image="makeparent16.png" onAction="tIndentLeft" keytip="TP" getEnabled="GetEnabled"/>
          <button id="btnChild" label="Make Child" size="normal" screentip="Set as Child Task" supertip="Alt + Right Arrow" image="makechild16.png" onAction="tIndentRight" keytip="TC" getEnabled="GetEnabled"/>
          <separator id="sep199"/>
          <button id="btnMoveUp" label="Move Up" size="normal" screentip="Move task up" supertip="Alt + Up Arrow" image="moveupblue16.png" onAction="MoveUpAboveRib" keytip="TU" getEnabled="GetEnabled"/>
          <button id="btnMoveDown" label="Move Down" size="normal" screentip="Move task down" supertip="Alt + Down Arrow" image="movedownblue16.png" onAction="MoveDownBelowRib" keytip="TD" getEnabled="GetEnabled"/>
        </group>
        <group id="grpDisplay6" label=" " getVisible="GetVisible">
          <button id="btnHourly" onAction="HourlyViewRib" label="Hourly View" image="HourlyView.png" screentip="Hourly View" size="large" getVisible="GetVisiblev" getEnabled="GetEnabled" keytip="VH"/>
        </group>
        <group id="grpDisplay1" label="Timeline" getVisible="GetVisible">
          <button id="btnDaily" label="Daily View" onAction="DailyViewRib" getEnabled="GetEnabled" image="DailyView64.png" screentip="Daily View" size="large" keytip="VD"/>
          <menu id="mnuMoreViews" label="More Views" image="moreviews.png" size="large" itemSize="large" screentip="More Views" keytip="VE">
            <button id="btnWeekly" label="Weekly View" onAction="WeeklyViewRib" getEnabled="GetEnabled" image="WeeklyView.png" screentip="Weekly View" keytip="VW"/>
            <button id="btnMonthly" label="Monthly View" onAction="MonthlyViewRib" getEnabled="GetEnabled" image="MonthlyView.png" screentip="Monthly View" keytip="VM"/>
            <button id="btnQuarterlyView" label="&amp;Quarterly View" onAction="OnActionButton" image="QuarterlyView.png" getEnabled="GetEnabled" screentip="Quarterly View"/>
            <button id="btnHalfYearlyView" label="&amp;Half Yearly View" onAction="OnActionButton" image="HalfYearlyView.png" getEnabled="GetEnabled" screentip="Half Yearly View"/>
            <button id="btnYearlyView" label="&amp;Yearly View" onAction="OnActionButton" image="YearlyView.png" getEnabled="GetEnabled" screentip="Yearly View"/>
          </menu>
          <separator id="timelinesep1"/>
          <button id="btnSetupTimeline" label="Setup Timeline" onAction="SetupTimelineRib" getEnabled="GetEnabled" image="SetupTimeline.png" screentip="Setup Timeline Dates" size="normal"/>
          <checkBox id="ShowTimeline" label="Show Timeline" onAction="OnActionCheckbox" getPressed="GetPressedCheckbox" getEnabled="GetEnabled"/>
          <checkBox id="RefreshTimeline" label="Refresh Timeline" onAction="OnActionCheckbox" getPressed="GetPressedCheckbox" getEnabled="GetEnabled"/>
          <button id="btnGotoStart" label="Scroll to Start" onAction="GotoStartRib" getEnabled="GetEnabled" image="ScrolltoStart.png" screentip="Scroll to start of project" keytip="SS" size="normal"/>
          <button id="btnGotoToday" label="Scroll to Today" onAction="GotoTodayRib" getEnabled="GetEnabled" image="ScrolltoToday.png" screentip="Scroll to today" keytip="ST" size="normal"/>
          <button id="btnGotoEnd" label="Scroll to End" onAction="GotoEndRib" getEnabled="GetEnabled" image="ScrolltoEnd.png" keytip="SE" screentip="Scroll to end of project" size="normal"/>
        </group>
        <group id="grpDisplay5" label="Filters" getVisible="GetVisible">
          <checkBox id="chkShowCompleted" label="Show Completed" onAction="OnActionCheckbox" getPressed="GetPressedCheckbox" getEnabled="GetEnabled"/>
          <checkBox id="chkShowInProgress" label="Show In Progress" onAction="OnActionCheckbox" getPressed="GetPressedCheckbox" getEnabled="GetEnabled"/>
          <checkBox id="chkShowPlanned" label="Show Planned" onAction="OnActionCheckbox" getPressed="GetPressedCheckbox" getEnabled="GetEnabled"/>
        </group>
        <group id="grpDisplay3" label="Groups" getVisible="GetVisible">
          <checkBox id="chkEnableGrouping" label="Enable Grouping" onAction="OnActionCheckbox" getPressed="GetPressedCheckbox" getEnabled="GetEnabled"/>
          <button id="btnExpandAllGroups" label="Expand Groups" size="normal" screentip="Expand task group" imageMso="OutlineShowDetail" onAction="OutlineShowDetailRib" getEnabled="GetEnabled"/>
          <button id="btnCollapseAllGroups" label="Collapse Groups" size="normal" screentip="Collapse group" imageMso="OutlineHideDetail" onAction="OutlineHideDetailRib" getEnabled="GetEnabled"/>
        </group>
        <group id="grpDisplay" label="Height/Width" getVisible="GetVisible">
          <button id="btnSetRowHeight" label="Row Height" size="normal" screentip="Sets row height for all tasks" imageMso="RowHeight" onAction="SetRowHeightRib" getEnabled="GetEnabled"/>
          <button id="btnSetColumnWidth" label="Column Width" size="normal" screentip="Sets row height for selected column" imageMso="ColumnWidth" onAction="SetColumnWidthRib" getEnabled="GetEnabled"/>
          <button idMso="ColumnWidthAutoFit" size="normal" imageMso="ColumnWidth" label="Auto Col Width" onAction="OnActionButton" getEnabled="GetEnabled"/>
        </group>
        <group id="Upgrade" label=" " getVisible="GetVisible">
          <button id="btnUpgrade" size="large" getLabel="getlabelF" image="Upgrade64.png" onAction="UpgradeLicense" getVisible="GetVisible" getEnabled="GetEnabled"/>
        </group>
        <group id="grpSettings1" label="Settings" getVisible="GetVisible">
          <button id="btnResources" size="large" label="Resources" image="Resources64.png" onAction="ShowResources" getEnabled="GetEnabled" keytip="R"/>
          <button id="btnSettings" size="large" label="Settings" image="Settings64.png" onAction="ShowSettings" keytip="N" getEnabled="GetEnabled"/>
          <button id="btnExportToPDF" size="large" label="Export to PDF" image="ExportToPDF.png" onAction="ExportToPDF" getEnabled="GetEnabled"/>
          <button id="btnExportToXLSX" size="large" label="Export to XLSX" image="ExportToXLSX.png" onAction="ExportToXLSX" getEnabled="GetEnabled"/>
        </group>
        <group id="grpAboutGanttExcel" label="Gantt Excel">
          <button id="btnAbout" label="About" screentip="About Gantt Excel" image="About64.png" keytip="O" onAction="AboutPopUpRib" size="larg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Project Plan</vt:lpstr>
      <vt:lpstr>Help</vt:lpstr>
      <vt:lpstr>GanttDashboardTemplate!Print_Area</vt:lpstr>
      <vt:lpstr>GanttDashboardTemplate!Print_Titles</vt:lpstr>
    </vt:vector>
  </TitlesOfParts>
  <Company>GanttExcel.Com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Excel Template</dc:title>
  <dc:creator>ganttexcel.com</dc:creator>
  <cp:keywords>Project Timeline</cp:keywords>
  <cp:lastModifiedBy>Lasan Nishshanka</cp:lastModifiedBy>
  <cp:revision>0</cp:revision>
  <cp:lastPrinted>2021-12-04T14:17:12Z</cp:lastPrinted>
  <dcterms:created xsi:type="dcterms:W3CDTF">2016-09-10T13:03:48Z</dcterms:created>
  <dcterms:modified xsi:type="dcterms:W3CDTF">2021-12-04T14:17:48Z</dcterms:modified>
  <cp:category>Excel Template</cp:category>
  <cp:version>3.0</cp:version>
</cp:coreProperties>
</file>